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어치\"/>
    </mc:Choice>
  </mc:AlternateContent>
  <xr:revisionPtr revIDLastSave="0" documentId="13_ncr:1_{71C99124-766E-4832-9EB5-705495398E30}" xr6:coauthVersionLast="47" xr6:coauthVersionMax="47" xr10:uidLastSave="{00000000-0000-0000-0000-000000000000}"/>
  <bookViews>
    <workbookView xWindow="3120" yWindow="2145" windowWidth="11055" windowHeight="14055" xr2:uid="{00000000-000D-0000-FFFF-FFFF00000000}"/>
  </bookViews>
  <sheets>
    <sheet name="전체 점수표" sheetId="1" r:id="rId1"/>
    <sheet name="티어 요약" sheetId="2" r:id="rId2"/>
    <sheet name="평가기준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2" l="1"/>
  <c r="F8" i="2"/>
  <c r="F7" i="2"/>
  <c r="F6" i="2"/>
  <c r="F5" i="2"/>
  <c r="F4" i="2"/>
  <c r="J90" i="1"/>
  <c r="I90" i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J83" i="1"/>
  <c r="I83" i="1"/>
  <c r="I82" i="1"/>
  <c r="A82" i="1" s="1"/>
  <c r="J81" i="1"/>
  <c r="I81" i="1"/>
  <c r="I80" i="1"/>
  <c r="J80" i="1" s="1"/>
  <c r="I79" i="1"/>
  <c r="J79" i="1" s="1"/>
  <c r="I78" i="1"/>
  <c r="J77" i="1"/>
  <c r="I77" i="1"/>
  <c r="I76" i="1"/>
  <c r="J76" i="1" s="1"/>
  <c r="J75" i="1"/>
  <c r="I75" i="1"/>
  <c r="I74" i="1"/>
  <c r="J74" i="1" s="1"/>
  <c r="I73" i="1"/>
  <c r="J73" i="1" s="1"/>
  <c r="I72" i="1"/>
  <c r="J72" i="1" s="1"/>
  <c r="J71" i="1"/>
  <c r="I71" i="1"/>
  <c r="J70" i="1"/>
  <c r="I70" i="1"/>
  <c r="A70" i="1" s="1"/>
  <c r="I69" i="1"/>
  <c r="J69" i="1" s="1"/>
  <c r="I68" i="1"/>
  <c r="J68" i="1" s="1"/>
  <c r="I67" i="1"/>
  <c r="J67" i="1" s="1"/>
  <c r="I66" i="1"/>
  <c r="J66" i="1" s="1"/>
  <c r="I65" i="1"/>
  <c r="J65" i="1" s="1"/>
  <c r="A65" i="1"/>
  <c r="I64" i="1"/>
  <c r="J64" i="1" s="1"/>
  <c r="J63" i="1"/>
  <c r="I63" i="1"/>
  <c r="I62" i="1"/>
  <c r="J61" i="1"/>
  <c r="I61" i="1"/>
  <c r="I60" i="1"/>
  <c r="J60" i="1" s="1"/>
  <c r="I59" i="1"/>
  <c r="J59" i="1" s="1"/>
  <c r="I58" i="1"/>
  <c r="J57" i="1"/>
  <c r="I57" i="1"/>
  <c r="I56" i="1"/>
  <c r="J56" i="1" s="1"/>
  <c r="J55" i="1"/>
  <c r="I55" i="1"/>
  <c r="I54" i="1"/>
  <c r="J54" i="1" s="1"/>
  <c r="I53" i="1"/>
  <c r="J53" i="1" s="1"/>
  <c r="I52" i="1"/>
  <c r="J52" i="1" s="1"/>
  <c r="J51" i="1"/>
  <c r="I51" i="1"/>
  <c r="J50" i="1"/>
  <c r="I50" i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J43" i="1"/>
  <c r="I43" i="1"/>
  <c r="I42" i="1"/>
  <c r="J41" i="1"/>
  <c r="I41" i="1"/>
  <c r="I40" i="1"/>
  <c r="J40" i="1" s="1"/>
  <c r="I39" i="1"/>
  <c r="J39" i="1" s="1"/>
  <c r="I38" i="1"/>
  <c r="A38" i="1" s="1"/>
  <c r="J37" i="1"/>
  <c r="I37" i="1"/>
  <c r="A37" i="1" s="1"/>
  <c r="I36" i="1"/>
  <c r="J36" i="1" s="1"/>
  <c r="J35" i="1"/>
  <c r="I35" i="1"/>
  <c r="I34" i="1"/>
  <c r="J34" i="1" s="1"/>
  <c r="I33" i="1"/>
  <c r="J33" i="1" s="1"/>
  <c r="I32" i="1"/>
  <c r="J32" i="1" s="1"/>
  <c r="J31" i="1"/>
  <c r="I31" i="1"/>
  <c r="J30" i="1"/>
  <c r="I30" i="1"/>
  <c r="I29" i="1"/>
  <c r="J29" i="1" s="1"/>
  <c r="I28" i="1"/>
  <c r="J28" i="1" s="1"/>
  <c r="I27" i="1"/>
  <c r="J27" i="1" s="1"/>
  <c r="I26" i="1"/>
  <c r="J26" i="1" s="1"/>
  <c r="I25" i="1"/>
  <c r="J25" i="1" s="1"/>
  <c r="A25" i="1"/>
  <c r="I24" i="1"/>
  <c r="J24" i="1" s="1"/>
  <c r="J23" i="1"/>
  <c r="I23" i="1"/>
  <c r="I22" i="1"/>
  <c r="A22" i="1" s="1"/>
  <c r="J21" i="1"/>
  <c r="I21" i="1"/>
  <c r="I20" i="1"/>
  <c r="J20" i="1" s="1"/>
  <c r="I19" i="1"/>
  <c r="J19" i="1" s="1"/>
  <c r="I18" i="1"/>
  <c r="J17" i="1"/>
  <c r="I17" i="1"/>
  <c r="I16" i="1"/>
  <c r="J16" i="1" s="1"/>
  <c r="J15" i="1"/>
  <c r="I15" i="1"/>
  <c r="I14" i="1"/>
  <c r="J14" i="1" s="1"/>
  <c r="I13" i="1"/>
  <c r="J13" i="1" s="1"/>
  <c r="I12" i="1"/>
  <c r="J12" i="1" s="1"/>
  <c r="J11" i="1"/>
  <c r="I11" i="1"/>
  <c r="J10" i="1"/>
  <c r="I10" i="1"/>
  <c r="A10" i="1" s="1"/>
  <c r="I9" i="1"/>
  <c r="J9" i="1" s="1"/>
  <c r="I8" i="1"/>
  <c r="J8" i="1" s="1"/>
  <c r="I7" i="1"/>
  <c r="J7" i="1" s="1"/>
  <c r="I6" i="1"/>
  <c r="J6" i="1" s="1"/>
  <c r="I5" i="1"/>
  <c r="F10" i="2" s="1"/>
  <c r="A5" i="1"/>
  <c r="A57" i="1" l="1"/>
  <c r="A58" i="1"/>
  <c r="A30" i="1"/>
  <c r="A77" i="1"/>
  <c r="A42" i="1"/>
  <c r="A90" i="1"/>
  <c r="A17" i="1"/>
  <c r="A62" i="1"/>
  <c r="A18" i="1"/>
  <c r="A78" i="1"/>
  <c r="A50" i="1"/>
  <c r="A85" i="1"/>
  <c r="A12" i="1"/>
  <c r="J18" i="1"/>
  <c r="A32" i="1"/>
  <c r="J38" i="1"/>
  <c r="A52" i="1"/>
  <c r="J58" i="1"/>
  <c r="A72" i="1"/>
  <c r="J78" i="1"/>
  <c r="J5" i="1"/>
  <c r="A19" i="1"/>
  <c r="A39" i="1"/>
  <c r="A59" i="1"/>
  <c r="A79" i="1"/>
  <c r="A6" i="1"/>
  <c r="A66" i="1"/>
  <c r="A86" i="1"/>
  <c r="A20" i="1"/>
  <c r="A40" i="1"/>
  <c r="A60" i="1"/>
  <c r="A80" i="1"/>
  <c r="A47" i="1"/>
  <c r="A29" i="1"/>
  <c r="A89" i="1"/>
  <c r="A16" i="1"/>
  <c r="J22" i="1"/>
  <c r="A56" i="1"/>
  <c r="A76" i="1"/>
  <c r="A23" i="1"/>
  <c r="A43" i="1"/>
  <c r="A63" i="1"/>
  <c r="A83" i="1"/>
  <c r="A26" i="1"/>
  <c r="A46" i="1"/>
  <c r="A13" i="1"/>
  <c r="A33" i="1"/>
  <c r="A53" i="1"/>
  <c r="A73" i="1"/>
  <c r="A7" i="1"/>
  <c r="A27" i="1"/>
  <c r="A67" i="1"/>
  <c r="A87" i="1"/>
  <c r="A9" i="1"/>
  <c r="A49" i="1"/>
  <c r="A69" i="1"/>
  <c r="A36" i="1"/>
  <c r="J42" i="1"/>
  <c r="J62" i="1"/>
  <c r="J82" i="1"/>
  <c r="A24" i="1"/>
  <c r="A44" i="1"/>
  <c r="A64" i="1"/>
  <c r="A84" i="1"/>
  <c r="A45" i="1"/>
  <c r="A11" i="1"/>
  <c r="A31" i="1"/>
  <c r="A51" i="1"/>
  <c r="A71" i="1"/>
  <c r="A8" i="1"/>
  <c r="A28" i="1"/>
  <c r="A48" i="1"/>
  <c r="A68" i="1"/>
  <c r="A88" i="1"/>
  <c r="A14" i="1"/>
  <c r="A34" i="1"/>
  <c r="A54" i="1"/>
  <c r="A74" i="1"/>
  <c r="A21" i="1"/>
  <c r="A41" i="1"/>
  <c r="A61" i="1"/>
  <c r="A81" i="1"/>
  <c r="A15" i="1"/>
  <c r="A35" i="1"/>
  <c r="A55" i="1"/>
  <c r="A75" i="1"/>
  <c r="C13" i="2" l="1"/>
  <c r="C12" i="2"/>
  <c r="C11" i="2"/>
  <c r="C8" i="2"/>
  <c r="C10" i="2"/>
  <c r="C9" i="2"/>
  <c r="C5" i="2"/>
  <c r="C4" i="2"/>
  <c r="C7" i="2"/>
  <c r="C6" i="2"/>
</calcChain>
</file>

<file path=xl/sharedStrings.xml><?xml version="1.0" encoding="utf-8"?>
<sst xmlns="http://schemas.openxmlformats.org/spreadsheetml/2006/main" count="600" uniqueCount="230">
  <si>
    <t>2026 한국 여자아이돌 체급 점수표</t>
  </si>
  <si>
    <t>기준일 2026-09-15 · 국내음원 20 + 음반·팬덤 20 + 공연 20 + 글로벌 15 + 국내인지도 15 + 현재기세 10 = 100점 · ±2~3점은 사실상 동급으로 해석</t>
  </si>
  <si>
    <t>순위</t>
  </si>
  <si>
    <t>그룹</t>
  </si>
  <si>
    <t>국내음원
(20)</t>
  </si>
  <si>
    <t>음반·팬덤
(20)</t>
  </si>
  <si>
    <t>공연
(20)</t>
  </si>
  <si>
    <t>글로벌
(15)</t>
  </si>
  <si>
    <t>국내인지도
(15)</t>
  </si>
  <si>
    <t>현재기세
(10)</t>
  </si>
  <si>
    <t>총점</t>
  </si>
  <si>
    <t>등급</t>
  </si>
  <si>
    <t>상태/분류</t>
  </si>
  <si>
    <t>평가 신뢰도</t>
  </si>
  <si>
    <t>대표 출처</t>
  </si>
  <si>
    <t>비고</t>
  </si>
  <si>
    <t>BLACKPINK</t>
  </si>
  <si>
    <t>현역</t>
  </si>
  <si>
    <t>높음</t>
  </si>
  <si>
    <t>https://circlechart.kr/</t>
  </si>
  <si>
    <t>2026-09 공개 활동·차트·공연·인지도 자료를 동일 기준으로 상대평가</t>
  </si>
  <si>
    <t>TWICE</t>
  </si>
  <si>
    <t>aespa</t>
  </si>
  <si>
    <t>IVE</t>
  </si>
  <si>
    <t>LE SSERAFIM</t>
  </si>
  <si>
    <t>i-dle</t>
  </si>
  <si>
    <t>BABYMONSTER</t>
  </si>
  <si>
    <t>NewJeans</t>
  </si>
  <si>
    <t>특수상태/복귀</t>
  </si>
  <si>
    <t>https://www.soompi.com/article/1856451wpp/watch-newjeans-announces-return-as-4-member-group-with-2026-summer-of-newjeans-films</t>
  </si>
  <si>
    <t>2026-09 공개 활동·차트·공연·인지도 자료를 동일 기준으로 상대평가 · 일반 현역과 해석 주의</t>
  </si>
  <si>
    <t>ILLIT</t>
  </si>
  <si>
    <t>NMIXX</t>
  </si>
  <si>
    <t>Red Velvet</t>
  </si>
  <si>
    <t>현역/완전체 컴백</t>
  </si>
  <si>
    <t>https://www.soompi.com/article/1852385wpp/watch-red-velvet-announces-comeback-date-with-1st-teaser-for-velvet-summer</t>
  </si>
  <si>
    <t>Hearts2Hearts</t>
  </si>
  <si>
    <t>KiiiKiii</t>
  </si>
  <si>
    <t>KATSEYE</t>
  </si>
  <si>
    <t>글로벌 그룹 참고군</t>
  </si>
  <si>
    <t>QWER</t>
  </si>
  <si>
    <t>아이돌 밴드 참고군</t>
  </si>
  <si>
    <t>ITZY</t>
  </si>
  <si>
    <t>MAMAMOO</t>
  </si>
  <si>
    <t>완전체 활동 재개</t>
  </si>
  <si>
    <t>https://www.soompi.com/article/1808654wpp/mamamoo-confirmed-to-return-with-full-group-album-in-june-2026-followed-by-26-city-world-tour</t>
  </si>
  <si>
    <t>KISS OF LIFE</t>
  </si>
  <si>
    <t>tripleS</t>
  </si>
  <si>
    <t>RESCENE</t>
  </si>
  <si>
    <t>현역/급상승</t>
  </si>
  <si>
    <t>MEOVV</t>
  </si>
  <si>
    <t>fromis_9</t>
  </si>
  <si>
    <t>현역/아시아 투어</t>
  </si>
  <si>
    <t>https://www.soompi.com/article/1858411wpp/fromis_9-announces-2026-asia-tour-tomorrow-glow</t>
  </si>
  <si>
    <t>I.O.I</t>
  </si>
  <si>
    <t>재결합 현역</t>
  </si>
  <si>
    <t>중상</t>
  </si>
  <si>
    <t>https://www.soompi.com/article/1853990wpp/watch-i-o-i-takes-4th-win-for-suddenly-on-inkigayo-performances-by-i-dle-yeonjun-babymonster-and-more</t>
  </si>
  <si>
    <t>izna</t>
  </si>
  <si>
    <t>STAYC</t>
  </si>
  <si>
    <t>FIFTY FIFTY</t>
  </si>
  <si>
    <t>ARTMS</t>
  </si>
  <si>
    <t>Apink</t>
  </si>
  <si>
    <t>https://www.soompi.com/article/1814913wpp/apink-announces-stops-for-2026-tour-the-origin-apink-in-asia</t>
  </si>
  <si>
    <t>Kep1er</t>
  </si>
  <si>
    <t>Dreamcatcher</t>
  </si>
  <si>
    <t>https://www.soompi.com/article/1728939wpp/3-dreamcatcher-members-to-part-ways-with-agency-continue-group-activities</t>
  </si>
  <si>
    <t>VIVIZ</t>
  </si>
  <si>
    <t>Girls' Generation</t>
  </si>
  <si>
    <t>비정기 현역/레거시</t>
  </si>
  <si>
    <t>https://www.soompi.com/article/1865653wpp/girls-generations-new-unit-hrs-drops-1st-teasers-for-debut-track-skibidi</t>
  </si>
  <si>
    <t>OH MY GIRL</t>
  </si>
  <si>
    <t>KARA</t>
  </si>
  <si>
    <t>Billlie</t>
  </si>
  <si>
    <t>H1-KEY</t>
  </si>
  <si>
    <t>TUIDE</t>
  </si>
  <si>
    <t>2026 신인</t>
  </si>
  <si>
    <t>https://www.soompi.com/article/1867396wpp/september-rookie-idol-group-brand-reputation-rankings-announced-4</t>
  </si>
  <si>
    <t>UNIS</t>
  </si>
  <si>
    <t>SAY MY NAME</t>
  </si>
  <si>
    <t>EVERGLOW</t>
  </si>
  <si>
    <t>4인조 활동 재개</t>
  </si>
  <si>
    <t>https://www.soompi.com/article/1818880wpp/everglow-announces-comeback-date-for-return-under-new-agency</t>
  </si>
  <si>
    <t>ifeye</t>
  </si>
  <si>
    <t>AtHeart</t>
  </si>
  <si>
    <t>YOUNG POSSE</t>
  </si>
  <si>
    <t>BBGIRLS</t>
  </si>
  <si>
    <t>중간</t>
  </si>
  <si>
    <t>BADVILLAIN</t>
  </si>
  <si>
    <t>Baby DONT Cry</t>
  </si>
  <si>
    <t>LIGHTSUM</t>
  </si>
  <si>
    <t>MADEIN</t>
  </si>
  <si>
    <t>Secret</t>
  </si>
  <si>
    <t>WOOAH</t>
  </si>
  <si>
    <t>CLASS:y</t>
  </si>
  <si>
    <t>현역/리부트</t>
  </si>
  <si>
    <t>WJSN</t>
  </si>
  <si>
    <t>레거시/비정기</t>
  </si>
  <si>
    <t>BLACKSWAN</t>
  </si>
  <si>
    <t>HITGS</t>
  </si>
  <si>
    <t>USPEER</t>
  </si>
  <si>
    <t>ODD YOUTH</t>
  </si>
  <si>
    <t>VVUP</t>
  </si>
  <si>
    <t>EXID</t>
  </si>
  <si>
    <t>SECRET NUMBER</t>
  </si>
  <si>
    <t>재편 현역</t>
  </si>
  <si>
    <t>ICHILLIN'</t>
  </si>
  <si>
    <t>Candy Shop</t>
  </si>
  <si>
    <t>KIIRAS</t>
  </si>
  <si>
    <t>Keyveatz</t>
  </si>
  <si>
    <t>https://www.soompi.com/article/1845790wpp/watch-aomgs-new-girl-group-keyveatz-announces-debut-date-with-preview-of-oxy</t>
  </si>
  <si>
    <t>ablume</t>
  </si>
  <si>
    <t>신생/특수 팬덤</t>
  </si>
  <si>
    <t>H//PE Princess</t>
  </si>
  <si>
    <t>https://www.soompi.com/article/1844102wpp/watch-h-pe-princess-makes-emotional-debut-with-hope-filled-one-day-mv</t>
  </si>
  <si>
    <t>VVS</t>
  </si>
  <si>
    <t>GENBLUE</t>
  </si>
  <si>
    <t>한국 활동 다국적</t>
  </si>
  <si>
    <t>Girl's Day</t>
  </si>
  <si>
    <t>OURBIRTHDAY</t>
  </si>
  <si>
    <t>https://www.soompi.com/article/1855326wpp/jyp-label-girl-group-ourbirthday-reveals-first-3-members</t>
  </si>
  <si>
    <t>UDTT</t>
  </si>
  <si>
    <t>CSR</t>
  </si>
  <si>
    <t>보통</t>
  </si>
  <si>
    <t>Queenz Eye</t>
  </si>
  <si>
    <t>PRIMROSE</t>
  </si>
  <si>
    <t>SPIA</t>
  </si>
  <si>
    <t>X:IN</t>
  </si>
  <si>
    <t>eite</t>
  </si>
  <si>
    <t>HEART OF WOMAN</t>
  </si>
  <si>
    <t>ILY:1</t>
  </si>
  <si>
    <t>UNCHILD</t>
  </si>
  <si>
    <t>2026 신인/컴백</t>
  </si>
  <si>
    <t>https://www.soompi.com/article/1863730wpp/watch-unchild-announces-1st-ever-comeback-date-with-teaser-for-ting-ting</t>
  </si>
  <si>
    <t>NAVILLERA</t>
  </si>
  <si>
    <t>BEWAVE</t>
  </si>
  <si>
    <t>현역/재편</t>
  </si>
  <si>
    <t>CrazAngel</t>
  </si>
  <si>
    <t>2026 활동</t>
  </si>
  <si>
    <t>UNICODE</t>
  </si>
  <si>
    <t>Geenius</t>
  </si>
  <si>
    <t>Kandis</t>
  </si>
  <si>
    <t>dodree</t>
  </si>
  <si>
    <t>티어 요약 및 TOP 20</t>
  </si>
  <si>
    <t>점수 구간</t>
  </si>
  <si>
    <t>그룹 수</t>
  </si>
  <si>
    <t>지표</t>
  </si>
  <si>
    <t>전체 평균</t>
  </si>
  <si>
    <t>S+</t>
  </si>
  <si>
    <t>90~100</t>
  </si>
  <si>
    <t>국내음원</t>
  </si>
  <si>
    <t>S</t>
  </si>
  <si>
    <t>80~89</t>
  </si>
  <si>
    <t>음반·팬덤</t>
  </si>
  <si>
    <t>A+</t>
  </si>
  <si>
    <t>70~79</t>
  </si>
  <si>
    <t>공연</t>
  </si>
  <si>
    <t>A</t>
  </si>
  <si>
    <t>60~69</t>
  </si>
  <si>
    <t>글로벌</t>
  </si>
  <si>
    <t>B+</t>
  </si>
  <si>
    <t>50~59</t>
  </si>
  <si>
    <t>국내인지도</t>
  </si>
  <si>
    <t>B</t>
  </si>
  <si>
    <t>40~49</t>
  </si>
  <si>
    <t>현재기세</t>
  </si>
  <si>
    <t>C+</t>
  </si>
  <si>
    <t>30~39</t>
  </si>
  <si>
    <t>C</t>
  </si>
  <si>
    <t>20~29</t>
  </si>
  <si>
    <t>D+</t>
  </si>
  <si>
    <t>10~19</t>
  </si>
  <si>
    <t>D</t>
  </si>
  <si>
    <t>0~9</t>
  </si>
  <si>
    <t>평가기준</t>
  </si>
  <si>
    <t>만점</t>
  </si>
  <si>
    <t>평가 내용</t>
  </si>
  <si>
    <t>해석</t>
  </si>
  <si>
    <t>Circle 디지털/스트리밍, Melon 등 최근 히트 성적과 지속성</t>
  </si>
  <si>
    <t>한 곡 최고순위보다 최근 12개월의 반복성과 지속기간 중시</t>
  </si>
  <si>
    <t>최근 앨범 판매, 2~3개 앨범 추이, 코어 팬덤 구매력</t>
  </si>
  <si>
    <t>초동 1회보다 유지력과 팬덤 폭을 함께 반영</t>
  </si>
  <si>
    <t>국내외 단독공연, 투어 규모, 공연장 급, 회차</t>
  </si>
  <si>
    <t>실제 유료 팬덤 체급을 강하게 반영</t>
  </si>
  <si>
    <t>Spotify/글로벌 차트/해외 팬덤/투어 소비</t>
  </si>
  <si>
    <t>국내 인지도와 별개인 해외 소비력</t>
  </si>
  <si>
    <t>그룹명·대표곡 인지도, 광고/방송/행사, 검색 관심</t>
  </si>
  <si>
    <t>일반 대중에게 알려진 정도</t>
  </si>
  <si>
    <t>최근 12개월 성장률, 컴백 성과, 활동 지속성</t>
  </si>
  <si>
    <t>신인 급상승·복귀·하락을 보정</t>
  </si>
  <si>
    <t>글로벌 최상위</t>
  </si>
  <si>
    <t>최상위 메이저</t>
  </si>
  <si>
    <t>대형/상위권</t>
  </si>
  <si>
    <t>중상위권</t>
  </si>
  <si>
    <t>확실한 팬덤·인지도</t>
  </si>
  <si>
    <t>중위권</t>
  </si>
  <si>
    <t>중소·라이징</t>
  </si>
  <si>
    <t>소형 팬덤/신인</t>
  </si>
  <si>
    <t>초신생·극소형</t>
  </si>
  <si>
    <t>데이터 부족 또는 매우 초기</t>
  </si>
  <si>
    <t>주의: 본 점수는 공식 단일 통계가 아니라 2026-09-15 시점 공개 차트·판매·공연·스트리밍·활동 자료를 동일 기준으로 정규화한 분석용 상대평가입니다. ±2~3점은 사실상 동급으로 보는 것이 적절합니다.</t>
  </si>
  <si>
    <t>대표 참고 출처</t>
  </si>
  <si>
    <t>분류</t>
  </si>
  <si>
    <t>출처</t>
  </si>
  <si>
    <t>URL</t>
  </si>
  <si>
    <t>활용</t>
  </si>
  <si>
    <t>차트</t>
  </si>
  <si>
    <t>Circle Chart</t>
  </si>
  <si>
    <t>국내 디지털/앨범 성과의 기본 참조</t>
  </si>
  <si>
    <t>복귀/활동</t>
  </si>
  <si>
    <t>Soompi - NewJeans 4인 복귀</t>
  </si>
  <si>
    <t>NewJeans 상태</t>
  </si>
  <si>
    <t>Soompi - MAMAMOO 완전체 및 26도시 투어</t>
  </si>
  <si>
    <t>MAMAMOO 공연/기세</t>
  </si>
  <si>
    <t>투어</t>
  </si>
  <si>
    <t>Soompi - fromis_9 아시아 투어</t>
  </si>
  <si>
    <t>fromis_9 공연</t>
  </si>
  <si>
    <t>복귀</t>
  </si>
  <si>
    <t>Soompi - Red Velvet 컴백</t>
  </si>
  <si>
    <t>Red Velvet 기세</t>
  </si>
  <si>
    <t>재결합</t>
  </si>
  <si>
    <t>Soompi - I.O.I 활동</t>
  </si>
  <si>
    <t>I.O.I 복귀 성과</t>
  </si>
  <si>
    <t>Soompi - Apink 아시아 투어</t>
  </si>
  <si>
    <t>Apink 공연</t>
  </si>
  <si>
    <t>Soompi - EVERGLOW 새 소속사 컴백</t>
  </si>
  <si>
    <t>EVERGLOW 활동</t>
  </si>
  <si>
    <t>신인</t>
  </si>
  <si>
    <t>Soompi - 2026년 9월 신인 브랜드</t>
  </si>
  <si>
    <t>신인 인지도/기세 보조자료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</si>
</sst>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rlito"/>
    </font>
    <font>
      <b/>
      <sz val="16"/>
      <color rgb="FFFFFFFF"/>
      <name val="Carlito"/>
    </font>
    <font>
      <sz val="10"/>
      <color rgb="FF374151"/>
      <name val="Carlito"/>
    </font>
    <font>
      <b/>
      <sz val="11"/>
      <color rgb="FFFFFFFF"/>
      <name val="Carlito"/>
    </font>
    <font>
      <sz val="10"/>
      <name val="Carlito"/>
    </font>
    <font>
      <b/>
      <sz val="11"/>
      <color rgb="FF92400E"/>
      <name val="Carlito"/>
    </font>
    <font>
      <sz val="11"/>
      <name val="Carlito"/>
    </font>
    <font>
      <sz val="8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EDE9FE"/>
      </patternFill>
    </fill>
    <fill>
      <patternFill patternType="solid">
        <fgColor rgb="FFDDD6FE"/>
      </patternFill>
    </fill>
    <fill>
      <patternFill patternType="solid">
        <fgColor rgb="FFDBEAFE"/>
      </patternFill>
    </fill>
    <fill>
      <patternFill patternType="solid">
        <fgColor rgb="FFBFDBFE"/>
      </patternFill>
    </fill>
    <fill>
      <patternFill patternType="solid">
        <fgColor rgb="FFCFFAFE"/>
      </patternFill>
    </fill>
    <fill>
      <patternFill patternType="solid">
        <fgColor rgb="FFA5F3FC"/>
      </patternFill>
    </fill>
    <fill>
      <patternFill patternType="solid">
        <fgColor rgb="FFFEF3C7"/>
      </patternFill>
    </fill>
    <fill>
      <patternFill patternType="solid">
        <fgColor rgb="FFFDE68A"/>
      </patternFill>
    </fill>
    <fill>
      <patternFill patternType="solid">
        <fgColor rgb="FFFED7AA"/>
      </patternFill>
    </fill>
    <fill>
      <patternFill patternType="solid">
        <fgColor rgb="FFFDBA7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vertical="center" wrapTex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4" fillId="0" borderId="8" xfId="1" applyFont="1" applyBorder="1" applyAlignment="1">
      <alignment vertical="center" wrapText="1"/>
    </xf>
    <xf numFmtId="0" fontId="3" fillId="4" borderId="0" xfId="1" applyFont="1" applyFill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3" fillId="4" borderId="2" xfId="1" applyFont="1" applyFill="1" applyBorder="1" applyAlignment="1">
      <alignment horizontal="center"/>
    </xf>
    <xf numFmtId="0" fontId="0" fillId="0" borderId="2" xfId="1" applyFont="1" applyBorder="1"/>
    <xf numFmtId="0" fontId="3" fillId="4" borderId="3" xfId="1" applyFont="1" applyFill="1" applyBorder="1" applyAlignment="1">
      <alignment horizontal="center"/>
    </xf>
    <xf numFmtId="0" fontId="0" fillId="5" borderId="4" xfId="1" applyFont="1" applyFill="1" applyBorder="1"/>
    <xf numFmtId="0" fontId="0" fillId="0" borderId="0" xfId="1" applyFont="1"/>
    <xf numFmtId="176" fontId="0" fillId="0" borderId="5" xfId="1" applyNumberFormat="1" applyFont="1" applyBorder="1"/>
    <xf numFmtId="0" fontId="0" fillId="6" borderId="4" xfId="1" applyFont="1" applyFill="1" applyBorder="1"/>
    <xf numFmtId="0" fontId="0" fillId="7" borderId="4" xfId="1" applyFont="1" applyFill="1" applyBorder="1"/>
    <xf numFmtId="0" fontId="0" fillId="8" borderId="4" xfId="1" applyFont="1" applyFill="1" applyBorder="1"/>
    <xf numFmtId="0" fontId="0" fillId="9" borderId="4" xfId="1" applyFont="1" applyFill="1" applyBorder="1"/>
    <xf numFmtId="0" fontId="0" fillId="10" borderId="4" xfId="1" applyFont="1" applyFill="1" applyBorder="1"/>
    <xf numFmtId="0" fontId="0" fillId="11" borderId="4" xfId="1" applyFont="1" applyFill="1" applyBorder="1"/>
    <xf numFmtId="0" fontId="0" fillId="12" borderId="4" xfId="1" applyFont="1" applyFill="1" applyBorder="1"/>
    <xf numFmtId="0" fontId="0" fillId="0" borderId="5" xfId="1" applyFont="1" applyBorder="1"/>
    <xf numFmtId="0" fontId="0" fillId="13" borderId="4" xfId="1" applyFont="1" applyFill="1" applyBorder="1"/>
    <xf numFmtId="0" fontId="0" fillId="14" borderId="4" xfId="1" applyFont="1" applyFill="1" applyBorder="1"/>
    <xf numFmtId="0" fontId="0" fillId="0" borderId="4" xfId="1" applyFont="1" applyBorder="1"/>
    <xf numFmtId="0" fontId="3" fillId="4" borderId="4" xfId="1" applyFont="1" applyFill="1" applyBorder="1" applyAlignment="1">
      <alignment horizontal="center"/>
    </xf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1" fillId="2" borderId="0" xfId="1" applyFont="1" applyFill="1" applyAlignment="1">
      <alignment horizontal="center" vertical="center"/>
    </xf>
    <xf numFmtId="0" fontId="0" fillId="0" borderId="0" xfId="0"/>
    <xf numFmtId="0" fontId="2" fillId="3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5" fillId="11" borderId="6" xfId="1" applyFont="1" applyFill="1" applyBorder="1" applyAlignment="1">
      <alignment wrapText="1"/>
    </xf>
    <xf numFmtId="0" fontId="0" fillId="0" borderId="7" xfId="1" applyFont="1" applyBorder="1"/>
    <xf numFmtId="0" fontId="0" fillId="0" borderId="8" xfId="1" applyFont="1" applyBorder="1"/>
  </cellXfs>
  <cellStyles count="2">
    <cellStyle name="Normal" xfId="1" xr:uid="{00000000-0005-0000-0000-000000000000}"/>
    <cellStyle name="표준" xfId="0" builtinId="0"/>
  </cellStyles>
  <dxfs count="10">
    <dxf>
      <font>
        <b/>
      </font>
      <fill>
        <patternFill patternType="solid">
          <bgColor rgb="FFFDBA74"/>
        </patternFill>
      </fill>
    </dxf>
    <dxf>
      <font>
        <b/>
      </font>
      <fill>
        <patternFill patternType="solid">
          <bgColor rgb="FFFED7AA"/>
        </patternFill>
      </fill>
    </dxf>
    <dxf>
      <font>
        <b/>
      </font>
      <fill>
        <patternFill patternType="solid">
          <bgColor rgb="FFFDE68A"/>
        </patternFill>
      </fill>
    </dxf>
    <dxf>
      <font>
        <b/>
      </font>
      <fill>
        <patternFill patternType="solid">
          <bgColor rgb="FFFEF3C7"/>
        </patternFill>
      </fill>
    </dxf>
    <dxf>
      <font>
        <b/>
      </font>
      <fill>
        <patternFill patternType="solid">
          <bgColor rgb="FFA5F3FC"/>
        </patternFill>
      </fill>
    </dxf>
    <dxf>
      <font>
        <b/>
      </font>
      <fill>
        <patternFill patternType="solid">
          <bgColor rgb="FFCFFAFE"/>
        </patternFill>
      </fill>
    </dxf>
    <dxf>
      <font>
        <b/>
      </font>
      <fill>
        <patternFill patternType="solid">
          <bgColor rgb="FFBFDBFE"/>
        </patternFill>
      </fill>
    </dxf>
    <dxf>
      <font>
        <b/>
      </font>
      <fill>
        <patternFill patternType="solid">
          <bgColor rgb="FFDBEAFE"/>
        </patternFill>
      </fill>
    </dxf>
    <dxf>
      <font>
        <b/>
      </font>
      <fill>
        <patternFill patternType="solid">
          <bgColor rgb="FFDDD6FE"/>
        </patternFill>
      </fill>
    </dxf>
    <dxf>
      <font>
        <b/>
      </font>
      <fill>
        <patternFill patternType="solid">
          <bgColor rgb="FFEDE9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한국 여자아이돌 체급점수 TOP 20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총점</c:v>
          </c:tx>
          <c:invertIfNegative val="1"/>
          <c:cat>
            <c:strRef>
              <c:f>'티어 요약'!$B$17:$B$36</c:f>
              <c:strCache>
                <c:ptCount val="20"/>
                <c:pt idx="0">
                  <c:v>BLACKPINK</c:v>
                </c:pt>
                <c:pt idx="1">
                  <c:v>TWICE</c:v>
                </c:pt>
                <c:pt idx="2">
                  <c:v>aespa</c:v>
                </c:pt>
                <c:pt idx="3">
                  <c:v>IVE</c:v>
                </c:pt>
                <c:pt idx="4">
                  <c:v>LE SSERAFIM</c:v>
                </c:pt>
                <c:pt idx="5">
                  <c:v>i-dle</c:v>
                </c:pt>
                <c:pt idx="6">
                  <c:v>BABYMONSTER</c:v>
                </c:pt>
                <c:pt idx="7">
                  <c:v>NewJeans</c:v>
                </c:pt>
                <c:pt idx="8">
                  <c:v>ILLIT</c:v>
                </c:pt>
                <c:pt idx="9">
                  <c:v>NMIXX</c:v>
                </c:pt>
                <c:pt idx="10">
                  <c:v>Red Velvet</c:v>
                </c:pt>
                <c:pt idx="11">
                  <c:v>Hearts2Hearts</c:v>
                </c:pt>
                <c:pt idx="12">
                  <c:v>KiiiKiii</c:v>
                </c:pt>
                <c:pt idx="13">
                  <c:v>KATSEYE</c:v>
                </c:pt>
                <c:pt idx="14">
                  <c:v>QWER</c:v>
                </c:pt>
                <c:pt idx="15">
                  <c:v>ITZY</c:v>
                </c:pt>
                <c:pt idx="16">
                  <c:v>MAMAMOO</c:v>
                </c:pt>
                <c:pt idx="17">
                  <c:v>KISS OF LIFE</c:v>
                </c:pt>
                <c:pt idx="18">
                  <c:v>tripleS</c:v>
                </c:pt>
                <c:pt idx="19">
                  <c:v>RESCENE</c:v>
                </c:pt>
              </c:strCache>
            </c:strRef>
          </c:cat>
          <c:val>
            <c:numRef>
              <c:f>'티어 요약'!$C$17:$C$36</c:f>
              <c:numCache>
                <c:formatCode>General</c:formatCode>
                <c:ptCount val="20"/>
                <c:pt idx="0">
                  <c:v>97</c:v>
                </c:pt>
                <c:pt idx="1">
                  <c:v>91</c:v>
                </c:pt>
                <c:pt idx="2">
                  <c:v>88</c:v>
                </c:pt>
                <c:pt idx="3">
                  <c:v>87</c:v>
                </c:pt>
                <c:pt idx="4">
                  <c:v>86</c:v>
                </c:pt>
                <c:pt idx="5">
                  <c:v>84</c:v>
                </c:pt>
                <c:pt idx="6">
                  <c:v>79</c:v>
                </c:pt>
                <c:pt idx="7">
                  <c:v>78</c:v>
                </c:pt>
                <c:pt idx="8">
                  <c:v>76</c:v>
                </c:pt>
                <c:pt idx="9">
                  <c:v>74</c:v>
                </c:pt>
                <c:pt idx="10">
                  <c:v>74</c:v>
                </c:pt>
                <c:pt idx="11">
                  <c:v>73</c:v>
                </c:pt>
                <c:pt idx="12">
                  <c:v>71</c:v>
                </c:pt>
                <c:pt idx="13">
                  <c:v>70</c:v>
                </c:pt>
                <c:pt idx="14">
                  <c:v>69</c:v>
                </c:pt>
                <c:pt idx="15">
                  <c:v>68</c:v>
                </c:pt>
                <c:pt idx="16">
                  <c:v>68</c:v>
                </c:pt>
                <c:pt idx="17">
                  <c:v>65</c:v>
                </c:pt>
                <c:pt idx="18">
                  <c:v>64</c:v>
                </c:pt>
                <c:pt idx="1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3-4680-969B-D87B2B6EC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oreaGirlGroupScores" displayName="KoreaGirlGroupScores" ref="A4:N90" totalsRowShown="0">
  <tableColumns count="14">
    <tableColumn id="1" xr3:uid="{00000000-0010-0000-0000-000001000000}" name="순위"/>
    <tableColumn id="2" xr3:uid="{00000000-0010-0000-0000-000002000000}" name="그룹"/>
    <tableColumn id="3" xr3:uid="{00000000-0010-0000-0000-000003000000}" name="국내음원_x000a_(20)"/>
    <tableColumn id="4" xr3:uid="{00000000-0010-0000-0000-000004000000}" name="음반·팬덤_x000a_(20)"/>
    <tableColumn id="5" xr3:uid="{00000000-0010-0000-0000-000005000000}" name="공연_x000a_(20)"/>
    <tableColumn id="6" xr3:uid="{00000000-0010-0000-0000-000006000000}" name="글로벌_x000a_(15)"/>
    <tableColumn id="7" xr3:uid="{00000000-0010-0000-0000-000007000000}" name="국내인지도_x000a_(15)"/>
    <tableColumn id="8" xr3:uid="{00000000-0010-0000-0000-000008000000}" name="현재기세_x000a_(10)"/>
    <tableColumn id="9" xr3:uid="{00000000-0010-0000-0000-000009000000}" name="총점"/>
    <tableColumn id="10" xr3:uid="{00000000-0010-0000-0000-00000A000000}" name="등급"/>
    <tableColumn id="11" xr3:uid="{00000000-0010-0000-0000-00000B000000}" name="상태/분류"/>
    <tableColumn id="12" xr3:uid="{00000000-0010-0000-0000-00000C000000}" name="평가 신뢰도"/>
    <tableColumn id="13" xr3:uid="{00000000-0010-0000-0000-00000D000000}" name="대표 출처"/>
    <tableColumn id="14" xr3:uid="{00000000-0010-0000-0000-00000E000000}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tabSelected="1" topLeftCell="A11" workbookViewId="0">
      <selection activeCell="F26" sqref="F26"/>
    </sheetView>
  </sheetViews>
  <sheetFormatPr defaultRowHeight="14.25"/>
  <cols>
    <col min="1" max="1" width="8" customWidth="1"/>
    <col min="2" max="2" width="23" customWidth="1"/>
    <col min="3" max="4" width="11" customWidth="1"/>
    <col min="5" max="6" width="10" customWidth="1"/>
    <col min="7" max="7" width="12" customWidth="1"/>
    <col min="8" max="8" width="11" customWidth="1"/>
    <col min="9" max="10" width="9" customWidth="1"/>
    <col min="11" max="11" width="20" customWidth="1"/>
    <col min="12" max="12" width="12" customWidth="1"/>
    <col min="13" max="14" width="42" customWidth="1"/>
  </cols>
  <sheetData>
    <row r="1" spans="1:14" ht="30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1.95" customHeight="1">
      <c r="A2" s="39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ht="36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6" t="s">
        <v>15</v>
      </c>
    </row>
    <row r="5" spans="1:14" ht="25.5">
      <c r="A5" s="7">
        <f t="shared" ref="A5:A36" si="0">RANK(I5,$I$5:$I$90,0)</f>
        <v>1</v>
      </c>
      <c r="B5" s="1" t="s">
        <v>16</v>
      </c>
      <c r="C5" s="2">
        <v>18</v>
      </c>
      <c r="D5" s="2">
        <v>20</v>
      </c>
      <c r="E5" s="2">
        <v>20</v>
      </c>
      <c r="F5" s="2">
        <v>15</v>
      </c>
      <c r="G5" s="2">
        <v>15</v>
      </c>
      <c r="H5" s="2">
        <v>9</v>
      </c>
      <c r="I5" s="2">
        <f t="shared" ref="I5:I36" si="1">SUM(C5:H5)</f>
        <v>97</v>
      </c>
      <c r="J5" s="2" t="str">
        <f t="shared" ref="J5:J36" si="2">IF(I5&gt;=90,"S+",IF(I5&gt;=80,"S",IF(I5&gt;=70,"A+",IF(I5&gt;=60,"A",IF(I5&gt;=50,"B+",IF(I5&gt;=40,"B",IF(I5&gt;=30,"C+",IF(I5&gt;=20,"C",IF(I5&gt;=10,"D+","D")))))))))</f>
        <v>S+</v>
      </c>
      <c r="K5" s="2" t="s">
        <v>17</v>
      </c>
      <c r="L5" s="2" t="s">
        <v>18</v>
      </c>
      <c r="M5" s="3" t="s">
        <v>19</v>
      </c>
      <c r="N5" s="8" t="s">
        <v>20</v>
      </c>
    </row>
    <row r="6" spans="1:14" ht="25.5">
      <c r="A6" s="7">
        <f t="shared" si="0"/>
        <v>2</v>
      </c>
      <c r="B6" s="1" t="s">
        <v>21</v>
      </c>
      <c r="C6" s="2">
        <v>14</v>
      </c>
      <c r="D6" s="2">
        <v>18</v>
      </c>
      <c r="E6" s="2">
        <v>20</v>
      </c>
      <c r="F6" s="2">
        <v>15</v>
      </c>
      <c r="G6" s="2">
        <v>15</v>
      </c>
      <c r="H6" s="2">
        <v>9</v>
      </c>
      <c r="I6" s="2">
        <f t="shared" si="1"/>
        <v>91</v>
      </c>
      <c r="J6" s="2" t="str">
        <f t="shared" si="2"/>
        <v>S+</v>
      </c>
      <c r="K6" s="2" t="s">
        <v>17</v>
      </c>
      <c r="L6" s="2" t="s">
        <v>18</v>
      </c>
      <c r="M6" s="3" t="s">
        <v>19</v>
      </c>
      <c r="N6" s="8" t="s">
        <v>20</v>
      </c>
    </row>
    <row r="7" spans="1:14" ht="25.5">
      <c r="A7" s="7">
        <f t="shared" si="0"/>
        <v>3</v>
      </c>
      <c r="B7" s="1" t="s">
        <v>22</v>
      </c>
      <c r="C7" s="2">
        <v>17</v>
      </c>
      <c r="D7" s="2">
        <v>18</v>
      </c>
      <c r="E7" s="2">
        <v>18</v>
      </c>
      <c r="F7" s="2">
        <v>14</v>
      </c>
      <c r="G7" s="2">
        <v>14</v>
      </c>
      <c r="H7" s="2">
        <v>7</v>
      </c>
      <c r="I7" s="2">
        <f t="shared" si="1"/>
        <v>88</v>
      </c>
      <c r="J7" s="2" t="str">
        <f t="shared" si="2"/>
        <v>S</v>
      </c>
      <c r="K7" s="2" t="s">
        <v>17</v>
      </c>
      <c r="L7" s="2" t="s">
        <v>18</v>
      </c>
      <c r="M7" s="3" t="s">
        <v>19</v>
      </c>
      <c r="N7" s="8" t="s">
        <v>20</v>
      </c>
    </row>
    <row r="8" spans="1:14" ht="25.5">
      <c r="A8" s="7">
        <f t="shared" si="0"/>
        <v>4</v>
      </c>
      <c r="B8" s="1" t="s">
        <v>23</v>
      </c>
      <c r="C8" s="2">
        <v>19</v>
      </c>
      <c r="D8" s="2">
        <v>18</v>
      </c>
      <c r="E8" s="2">
        <v>15</v>
      </c>
      <c r="F8" s="2">
        <v>11</v>
      </c>
      <c r="G8" s="2">
        <v>15</v>
      </c>
      <c r="H8" s="2">
        <v>9</v>
      </c>
      <c r="I8" s="2">
        <f t="shared" si="1"/>
        <v>87</v>
      </c>
      <c r="J8" s="2" t="str">
        <f t="shared" si="2"/>
        <v>S</v>
      </c>
      <c r="K8" s="2" t="s">
        <v>17</v>
      </c>
      <c r="L8" s="2" t="s">
        <v>18</v>
      </c>
      <c r="M8" s="3" t="s">
        <v>19</v>
      </c>
      <c r="N8" s="8" t="s">
        <v>20</v>
      </c>
    </row>
    <row r="9" spans="1:14" ht="25.5">
      <c r="A9" s="7">
        <f t="shared" si="0"/>
        <v>5</v>
      </c>
      <c r="B9" s="1" t="s">
        <v>24</v>
      </c>
      <c r="C9" s="2">
        <v>16</v>
      </c>
      <c r="D9" s="2">
        <v>15</v>
      </c>
      <c r="E9" s="2">
        <v>18</v>
      </c>
      <c r="F9" s="2">
        <v>15</v>
      </c>
      <c r="G9" s="2">
        <v>13</v>
      </c>
      <c r="H9" s="2">
        <v>9</v>
      </c>
      <c r="I9" s="2">
        <f t="shared" si="1"/>
        <v>86</v>
      </c>
      <c r="J9" s="2" t="str">
        <f t="shared" si="2"/>
        <v>S</v>
      </c>
      <c r="K9" s="2" t="s">
        <v>17</v>
      </c>
      <c r="L9" s="2" t="s">
        <v>18</v>
      </c>
      <c r="M9" s="3" t="s">
        <v>19</v>
      </c>
      <c r="N9" s="8" t="s">
        <v>20</v>
      </c>
    </row>
    <row r="10" spans="1:14" ht="25.5">
      <c r="A10" s="7">
        <f t="shared" si="0"/>
        <v>6</v>
      </c>
      <c r="B10" s="1" t="s">
        <v>25</v>
      </c>
      <c r="C10" s="2">
        <v>17</v>
      </c>
      <c r="D10" s="2">
        <v>16</v>
      </c>
      <c r="E10" s="2">
        <v>16</v>
      </c>
      <c r="F10" s="2">
        <v>13</v>
      </c>
      <c r="G10" s="2">
        <v>14</v>
      </c>
      <c r="H10" s="2">
        <v>8</v>
      </c>
      <c r="I10" s="2">
        <f t="shared" si="1"/>
        <v>84</v>
      </c>
      <c r="J10" s="2" t="str">
        <f t="shared" si="2"/>
        <v>S</v>
      </c>
      <c r="K10" s="2" t="s">
        <v>17</v>
      </c>
      <c r="L10" s="2" t="s">
        <v>18</v>
      </c>
      <c r="M10" s="3" t="s">
        <v>19</v>
      </c>
      <c r="N10" s="8" t="s">
        <v>20</v>
      </c>
    </row>
    <row r="11" spans="1:14" ht="25.5">
      <c r="A11" s="7">
        <f t="shared" si="0"/>
        <v>7</v>
      </c>
      <c r="B11" s="1" t="s">
        <v>26</v>
      </c>
      <c r="C11" s="2">
        <v>12</v>
      </c>
      <c r="D11" s="2">
        <v>17</v>
      </c>
      <c r="E11" s="2">
        <v>18</v>
      </c>
      <c r="F11" s="2">
        <v>14</v>
      </c>
      <c r="G11" s="2">
        <v>11</v>
      </c>
      <c r="H11" s="2">
        <v>7</v>
      </c>
      <c r="I11" s="2">
        <f t="shared" si="1"/>
        <v>79</v>
      </c>
      <c r="J11" s="2" t="str">
        <f t="shared" si="2"/>
        <v>A+</v>
      </c>
      <c r="K11" s="2" t="s">
        <v>17</v>
      </c>
      <c r="L11" s="2" t="s">
        <v>18</v>
      </c>
      <c r="M11" s="3" t="s">
        <v>19</v>
      </c>
      <c r="N11" s="8" t="s">
        <v>20</v>
      </c>
    </row>
    <row r="12" spans="1:14" ht="38.25">
      <c r="A12" s="7">
        <f t="shared" si="0"/>
        <v>8</v>
      </c>
      <c r="B12" s="1" t="s">
        <v>27</v>
      </c>
      <c r="C12" s="2">
        <v>19</v>
      </c>
      <c r="D12" s="2">
        <v>17</v>
      </c>
      <c r="E12" s="2">
        <v>7</v>
      </c>
      <c r="F12" s="2">
        <v>15</v>
      </c>
      <c r="G12" s="2">
        <v>15</v>
      </c>
      <c r="H12" s="2">
        <v>5</v>
      </c>
      <c r="I12" s="2">
        <f t="shared" si="1"/>
        <v>78</v>
      </c>
      <c r="J12" s="2" t="str">
        <f t="shared" si="2"/>
        <v>A+</v>
      </c>
      <c r="K12" s="2" t="s">
        <v>28</v>
      </c>
      <c r="L12" s="2" t="s">
        <v>18</v>
      </c>
      <c r="M12" s="3" t="s">
        <v>29</v>
      </c>
      <c r="N12" s="8" t="s">
        <v>30</v>
      </c>
    </row>
    <row r="13" spans="1:14" ht="25.5">
      <c r="A13" s="7">
        <f t="shared" si="0"/>
        <v>9</v>
      </c>
      <c r="B13" s="1" t="s">
        <v>31</v>
      </c>
      <c r="C13" s="2">
        <v>17</v>
      </c>
      <c r="D13" s="2">
        <v>14</v>
      </c>
      <c r="E13" s="2">
        <v>8</v>
      </c>
      <c r="F13" s="2">
        <v>14</v>
      </c>
      <c r="G13" s="2">
        <v>13</v>
      </c>
      <c r="H13" s="2">
        <v>10</v>
      </c>
      <c r="I13" s="2">
        <f t="shared" si="1"/>
        <v>76</v>
      </c>
      <c r="J13" s="2" t="str">
        <f t="shared" si="2"/>
        <v>A+</v>
      </c>
      <c r="K13" s="2" t="s">
        <v>17</v>
      </c>
      <c r="L13" s="2" t="s">
        <v>18</v>
      </c>
      <c r="M13" s="3" t="s">
        <v>19</v>
      </c>
      <c r="N13" s="8" t="s">
        <v>20</v>
      </c>
    </row>
    <row r="14" spans="1:14" ht="25.5">
      <c r="A14" s="7">
        <f t="shared" si="0"/>
        <v>10</v>
      </c>
      <c r="B14" s="1" t="s">
        <v>32</v>
      </c>
      <c r="C14" s="2">
        <v>17</v>
      </c>
      <c r="D14" s="2">
        <v>13</v>
      </c>
      <c r="E14" s="2">
        <v>15</v>
      </c>
      <c r="F14" s="2">
        <v>10</v>
      </c>
      <c r="G14" s="2">
        <v>11</v>
      </c>
      <c r="H14" s="2">
        <v>8</v>
      </c>
      <c r="I14" s="2">
        <f t="shared" si="1"/>
        <v>74</v>
      </c>
      <c r="J14" s="2" t="str">
        <f t="shared" si="2"/>
        <v>A+</v>
      </c>
      <c r="K14" s="2" t="s">
        <v>17</v>
      </c>
      <c r="L14" s="2" t="s">
        <v>18</v>
      </c>
      <c r="M14" s="3" t="s">
        <v>19</v>
      </c>
      <c r="N14" s="8" t="s">
        <v>20</v>
      </c>
    </row>
    <row r="15" spans="1:14" ht="38.25">
      <c r="A15" s="7">
        <f t="shared" si="0"/>
        <v>10</v>
      </c>
      <c r="B15" s="1" t="s">
        <v>33</v>
      </c>
      <c r="C15" s="2">
        <v>14</v>
      </c>
      <c r="D15" s="2">
        <v>10</v>
      </c>
      <c r="E15" s="2">
        <v>14</v>
      </c>
      <c r="F15" s="2">
        <v>11</v>
      </c>
      <c r="G15" s="2">
        <v>15</v>
      </c>
      <c r="H15" s="2">
        <v>10</v>
      </c>
      <c r="I15" s="2">
        <f t="shared" si="1"/>
        <v>74</v>
      </c>
      <c r="J15" s="2" t="str">
        <f t="shared" si="2"/>
        <v>A+</v>
      </c>
      <c r="K15" s="2" t="s">
        <v>34</v>
      </c>
      <c r="L15" s="2" t="s">
        <v>18</v>
      </c>
      <c r="M15" s="3" t="s">
        <v>35</v>
      </c>
      <c r="N15" s="8" t="s">
        <v>20</v>
      </c>
    </row>
    <row r="16" spans="1:14" ht="25.5">
      <c r="A16" s="7">
        <f t="shared" si="0"/>
        <v>12</v>
      </c>
      <c r="B16" s="1" t="s">
        <v>36</v>
      </c>
      <c r="C16" s="2">
        <v>19</v>
      </c>
      <c r="D16" s="2">
        <v>17</v>
      </c>
      <c r="E16" s="2">
        <v>7</v>
      </c>
      <c r="F16" s="2">
        <v>12</v>
      </c>
      <c r="G16" s="2">
        <v>10</v>
      </c>
      <c r="H16" s="2">
        <v>8</v>
      </c>
      <c r="I16" s="2">
        <f t="shared" si="1"/>
        <v>73</v>
      </c>
      <c r="J16" s="2" t="str">
        <f t="shared" si="2"/>
        <v>A+</v>
      </c>
      <c r="K16" s="2" t="s">
        <v>17</v>
      </c>
      <c r="L16" s="2" t="s">
        <v>18</v>
      </c>
      <c r="M16" s="3" t="s">
        <v>19</v>
      </c>
      <c r="N16" s="8" t="s">
        <v>20</v>
      </c>
    </row>
    <row r="17" spans="1:14" ht="25.5">
      <c r="A17" s="7">
        <f t="shared" si="0"/>
        <v>13</v>
      </c>
      <c r="B17" s="1" t="s">
        <v>37</v>
      </c>
      <c r="C17" s="2">
        <v>20</v>
      </c>
      <c r="D17" s="2">
        <v>11</v>
      </c>
      <c r="E17" s="2">
        <v>7</v>
      </c>
      <c r="F17" s="2">
        <v>10</v>
      </c>
      <c r="G17" s="2">
        <v>13</v>
      </c>
      <c r="H17" s="2">
        <v>10</v>
      </c>
      <c r="I17" s="2">
        <f t="shared" si="1"/>
        <v>71</v>
      </c>
      <c r="J17" s="2" t="str">
        <f t="shared" si="2"/>
        <v>A+</v>
      </c>
      <c r="K17" s="2" t="s">
        <v>17</v>
      </c>
      <c r="L17" s="2" t="s">
        <v>18</v>
      </c>
      <c r="M17" s="3" t="s">
        <v>19</v>
      </c>
      <c r="N17" s="8" t="s">
        <v>20</v>
      </c>
    </row>
    <row r="18" spans="1:14" ht="25.5">
      <c r="A18" s="7">
        <f t="shared" si="0"/>
        <v>14</v>
      </c>
      <c r="B18" s="1" t="s">
        <v>38</v>
      </c>
      <c r="C18" s="2">
        <v>7</v>
      </c>
      <c r="D18" s="2">
        <v>11</v>
      </c>
      <c r="E18" s="2">
        <v>16</v>
      </c>
      <c r="F18" s="2">
        <v>15</v>
      </c>
      <c r="G18" s="2">
        <v>11</v>
      </c>
      <c r="H18" s="2">
        <v>10</v>
      </c>
      <c r="I18" s="2">
        <f t="shared" si="1"/>
        <v>70</v>
      </c>
      <c r="J18" s="2" t="str">
        <f t="shared" si="2"/>
        <v>A+</v>
      </c>
      <c r="K18" s="2" t="s">
        <v>39</v>
      </c>
      <c r="L18" s="2" t="s">
        <v>18</v>
      </c>
      <c r="M18" s="3" t="s">
        <v>19</v>
      </c>
      <c r="N18" s="8" t="s">
        <v>30</v>
      </c>
    </row>
    <row r="19" spans="1:14" ht="25.5">
      <c r="A19" s="7">
        <f t="shared" si="0"/>
        <v>15</v>
      </c>
      <c r="B19" s="1" t="s">
        <v>40</v>
      </c>
      <c r="C19" s="2">
        <v>19</v>
      </c>
      <c r="D19" s="2">
        <v>8</v>
      </c>
      <c r="E19" s="2">
        <v>11</v>
      </c>
      <c r="F19" s="2">
        <v>6</v>
      </c>
      <c r="G19" s="2">
        <v>15</v>
      </c>
      <c r="H19" s="2">
        <v>10</v>
      </c>
      <c r="I19" s="2">
        <f t="shared" si="1"/>
        <v>69</v>
      </c>
      <c r="J19" s="2" t="str">
        <f t="shared" si="2"/>
        <v>A</v>
      </c>
      <c r="K19" s="2" t="s">
        <v>41</v>
      </c>
      <c r="L19" s="2" t="s">
        <v>18</v>
      </c>
      <c r="M19" s="3" t="s">
        <v>19</v>
      </c>
      <c r="N19" s="8" t="s">
        <v>30</v>
      </c>
    </row>
    <row r="20" spans="1:14" ht="25.5">
      <c r="A20" s="7">
        <f t="shared" si="0"/>
        <v>16</v>
      </c>
      <c r="B20" s="1" t="s">
        <v>42</v>
      </c>
      <c r="C20" s="2">
        <v>8</v>
      </c>
      <c r="D20" s="2">
        <v>10</v>
      </c>
      <c r="E20" s="2">
        <v>17</v>
      </c>
      <c r="F20" s="2">
        <v>11</v>
      </c>
      <c r="G20" s="2">
        <v>13</v>
      </c>
      <c r="H20" s="2">
        <v>9</v>
      </c>
      <c r="I20" s="2">
        <f t="shared" si="1"/>
        <v>68</v>
      </c>
      <c r="J20" s="2" t="str">
        <f t="shared" si="2"/>
        <v>A</v>
      </c>
      <c r="K20" s="2" t="s">
        <v>17</v>
      </c>
      <c r="L20" s="2" t="s">
        <v>18</v>
      </c>
      <c r="M20" s="3" t="s">
        <v>19</v>
      </c>
      <c r="N20" s="8" t="s">
        <v>20</v>
      </c>
    </row>
    <row r="21" spans="1:14" ht="38.25">
      <c r="A21" s="7">
        <f t="shared" si="0"/>
        <v>16</v>
      </c>
      <c r="B21" s="1" t="s">
        <v>43</v>
      </c>
      <c r="C21" s="2">
        <v>9</v>
      </c>
      <c r="D21" s="2">
        <v>6</v>
      </c>
      <c r="E21" s="2">
        <v>18</v>
      </c>
      <c r="F21" s="2">
        <v>11</v>
      </c>
      <c r="G21" s="2">
        <v>15</v>
      </c>
      <c r="H21" s="2">
        <v>9</v>
      </c>
      <c r="I21" s="2">
        <f t="shared" si="1"/>
        <v>68</v>
      </c>
      <c r="J21" s="2" t="str">
        <f t="shared" si="2"/>
        <v>A</v>
      </c>
      <c r="K21" s="2" t="s">
        <v>44</v>
      </c>
      <c r="L21" s="2" t="s">
        <v>18</v>
      </c>
      <c r="M21" s="3" t="s">
        <v>45</v>
      </c>
      <c r="N21" s="8" t="s">
        <v>20</v>
      </c>
    </row>
    <row r="22" spans="1:14" ht="25.5">
      <c r="A22" s="7">
        <f t="shared" si="0"/>
        <v>18</v>
      </c>
      <c r="B22" s="1" t="s">
        <v>46</v>
      </c>
      <c r="C22" s="2">
        <v>12</v>
      </c>
      <c r="D22" s="2">
        <v>9</v>
      </c>
      <c r="E22" s="2">
        <v>13</v>
      </c>
      <c r="F22" s="2">
        <v>11</v>
      </c>
      <c r="G22" s="2">
        <v>10</v>
      </c>
      <c r="H22" s="2">
        <v>10</v>
      </c>
      <c r="I22" s="2">
        <f t="shared" si="1"/>
        <v>65</v>
      </c>
      <c r="J22" s="2" t="str">
        <f t="shared" si="2"/>
        <v>A</v>
      </c>
      <c r="K22" s="2" t="s">
        <v>17</v>
      </c>
      <c r="L22" s="2" t="s">
        <v>18</v>
      </c>
      <c r="M22" s="3" t="s">
        <v>19</v>
      </c>
      <c r="N22" s="8" t="s">
        <v>20</v>
      </c>
    </row>
    <row r="23" spans="1:14" ht="25.5">
      <c r="A23" s="7">
        <f t="shared" si="0"/>
        <v>19</v>
      </c>
      <c r="B23" s="1" t="s">
        <v>47</v>
      </c>
      <c r="C23" s="2">
        <v>9</v>
      </c>
      <c r="D23" s="2">
        <v>16</v>
      </c>
      <c r="E23" s="2">
        <v>12</v>
      </c>
      <c r="F23" s="2">
        <v>9</v>
      </c>
      <c r="G23" s="2">
        <v>9</v>
      </c>
      <c r="H23" s="2">
        <v>9</v>
      </c>
      <c r="I23" s="2">
        <f t="shared" si="1"/>
        <v>64</v>
      </c>
      <c r="J23" s="2" t="str">
        <f t="shared" si="2"/>
        <v>A</v>
      </c>
      <c r="K23" s="2" t="s">
        <v>17</v>
      </c>
      <c r="L23" s="2" t="s">
        <v>18</v>
      </c>
      <c r="M23" s="3" t="s">
        <v>19</v>
      </c>
      <c r="N23" s="8" t="s">
        <v>20</v>
      </c>
    </row>
    <row r="24" spans="1:14" ht="25.5">
      <c r="A24" s="7">
        <f t="shared" si="0"/>
        <v>20</v>
      </c>
      <c r="B24" s="1" t="s">
        <v>48</v>
      </c>
      <c r="C24" s="2">
        <v>18</v>
      </c>
      <c r="D24" s="2">
        <v>10</v>
      </c>
      <c r="E24" s="2">
        <v>6</v>
      </c>
      <c r="F24" s="2">
        <v>8</v>
      </c>
      <c r="G24" s="2">
        <v>13</v>
      </c>
      <c r="H24" s="2">
        <v>8</v>
      </c>
      <c r="I24" s="2">
        <f t="shared" si="1"/>
        <v>63</v>
      </c>
      <c r="J24" s="2" t="str">
        <f t="shared" si="2"/>
        <v>A</v>
      </c>
      <c r="K24" s="2" t="s">
        <v>49</v>
      </c>
      <c r="L24" s="2" t="s">
        <v>18</v>
      </c>
      <c r="M24" s="3" t="s">
        <v>19</v>
      </c>
      <c r="N24" s="8" t="s">
        <v>20</v>
      </c>
    </row>
    <row r="25" spans="1:14" ht="25.5">
      <c r="A25" s="7">
        <f t="shared" si="0"/>
        <v>21</v>
      </c>
      <c r="B25" s="1" t="s">
        <v>50</v>
      </c>
      <c r="C25" s="2">
        <v>10</v>
      </c>
      <c r="D25" s="2">
        <v>11</v>
      </c>
      <c r="E25" s="2">
        <v>7</v>
      </c>
      <c r="F25" s="2">
        <v>13</v>
      </c>
      <c r="G25" s="2">
        <v>11</v>
      </c>
      <c r="H25" s="2">
        <v>10</v>
      </c>
      <c r="I25" s="2">
        <f t="shared" si="1"/>
        <v>62</v>
      </c>
      <c r="J25" s="2" t="str">
        <f t="shared" si="2"/>
        <v>A</v>
      </c>
      <c r="K25" s="2" t="s">
        <v>17</v>
      </c>
      <c r="L25" s="2" t="s">
        <v>18</v>
      </c>
      <c r="M25" s="3" t="s">
        <v>19</v>
      </c>
      <c r="N25" s="8" t="s">
        <v>20</v>
      </c>
    </row>
    <row r="26" spans="1:14" ht="25.5">
      <c r="A26" s="7">
        <f t="shared" si="0"/>
        <v>21</v>
      </c>
      <c r="B26" s="1" t="s">
        <v>51</v>
      </c>
      <c r="C26" s="2">
        <v>12</v>
      </c>
      <c r="D26" s="2">
        <v>8</v>
      </c>
      <c r="E26" s="2">
        <v>13</v>
      </c>
      <c r="F26" s="2">
        <v>7</v>
      </c>
      <c r="G26" s="2">
        <v>13</v>
      </c>
      <c r="H26" s="2">
        <v>9</v>
      </c>
      <c r="I26" s="2">
        <f t="shared" si="1"/>
        <v>62</v>
      </c>
      <c r="J26" s="2" t="str">
        <f t="shared" si="2"/>
        <v>A</v>
      </c>
      <c r="K26" s="2" t="s">
        <v>52</v>
      </c>
      <c r="L26" s="2" t="s">
        <v>18</v>
      </c>
      <c r="M26" s="3" t="s">
        <v>53</v>
      </c>
      <c r="N26" s="8" t="s">
        <v>20</v>
      </c>
    </row>
    <row r="27" spans="1:14" ht="38.25">
      <c r="A27" s="7">
        <f t="shared" si="0"/>
        <v>23</v>
      </c>
      <c r="B27" s="1" t="s">
        <v>54</v>
      </c>
      <c r="C27" s="2">
        <v>12</v>
      </c>
      <c r="D27" s="2">
        <v>7</v>
      </c>
      <c r="E27" s="2">
        <v>9</v>
      </c>
      <c r="F27" s="2">
        <v>6</v>
      </c>
      <c r="G27" s="2">
        <v>15</v>
      </c>
      <c r="H27" s="2">
        <v>10</v>
      </c>
      <c r="I27" s="2">
        <f t="shared" si="1"/>
        <v>59</v>
      </c>
      <c r="J27" s="2" t="str">
        <f t="shared" si="2"/>
        <v>B+</v>
      </c>
      <c r="K27" s="2" t="s">
        <v>55</v>
      </c>
      <c r="L27" s="2" t="s">
        <v>56</v>
      </c>
      <c r="M27" s="3" t="s">
        <v>57</v>
      </c>
      <c r="N27" s="8" t="s">
        <v>20</v>
      </c>
    </row>
    <row r="28" spans="1:14" ht="25.5">
      <c r="A28" s="7">
        <f t="shared" si="0"/>
        <v>23</v>
      </c>
      <c r="B28" s="1" t="s">
        <v>58</v>
      </c>
      <c r="C28" s="2">
        <v>9</v>
      </c>
      <c r="D28" s="2">
        <v>10</v>
      </c>
      <c r="E28" s="2">
        <v>8</v>
      </c>
      <c r="F28" s="2">
        <v>10</v>
      </c>
      <c r="G28" s="2">
        <v>12</v>
      </c>
      <c r="H28" s="2">
        <v>10</v>
      </c>
      <c r="I28" s="2">
        <f t="shared" si="1"/>
        <v>59</v>
      </c>
      <c r="J28" s="2" t="str">
        <f t="shared" si="2"/>
        <v>B+</v>
      </c>
      <c r="K28" s="2" t="s">
        <v>17</v>
      </c>
      <c r="L28" s="2" t="s">
        <v>56</v>
      </c>
      <c r="M28" s="3" t="s">
        <v>19</v>
      </c>
      <c r="N28" s="8" t="s">
        <v>20</v>
      </c>
    </row>
    <row r="29" spans="1:14" ht="25.5">
      <c r="A29" s="7">
        <f t="shared" si="0"/>
        <v>25</v>
      </c>
      <c r="B29" s="1" t="s">
        <v>59</v>
      </c>
      <c r="C29" s="2">
        <v>10</v>
      </c>
      <c r="D29" s="2">
        <v>9</v>
      </c>
      <c r="E29" s="2">
        <v>12</v>
      </c>
      <c r="F29" s="2">
        <v>9</v>
      </c>
      <c r="G29" s="2">
        <v>12</v>
      </c>
      <c r="H29" s="2">
        <v>5</v>
      </c>
      <c r="I29" s="2">
        <f t="shared" si="1"/>
        <v>57</v>
      </c>
      <c r="J29" s="2" t="str">
        <f t="shared" si="2"/>
        <v>B+</v>
      </c>
      <c r="K29" s="2" t="s">
        <v>17</v>
      </c>
      <c r="L29" s="2" t="s">
        <v>56</v>
      </c>
      <c r="M29" s="3" t="s">
        <v>19</v>
      </c>
      <c r="N29" s="8" t="s">
        <v>20</v>
      </c>
    </row>
    <row r="30" spans="1:14" ht="25.5">
      <c r="A30" s="7">
        <f t="shared" si="0"/>
        <v>26</v>
      </c>
      <c r="B30" s="1" t="s">
        <v>60</v>
      </c>
      <c r="C30" s="2">
        <v>9</v>
      </c>
      <c r="D30" s="2">
        <v>6</v>
      </c>
      <c r="E30" s="2">
        <v>6</v>
      </c>
      <c r="F30" s="2">
        <v>14</v>
      </c>
      <c r="G30" s="2">
        <v>14</v>
      </c>
      <c r="H30" s="2">
        <v>7</v>
      </c>
      <c r="I30" s="2">
        <f t="shared" si="1"/>
        <v>56</v>
      </c>
      <c r="J30" s="2" t="str">
        <f t="shared" si="2"/>
        <v>B+</v>
      </c>
      <c r="K30" s="2" t="s">
        <v>17</v>
      </c>
      <c r="L30" s="2" t="s">
        <v>56</v>
      </c>
      <c r="M30" s="3" t="s">
        <v>19</v>
      </c>
      <c r="N30" s="8" t="s">
        <v>20</v>
      </c>
    </row>
    <row r="31" spans="1:14" ht="25.5">
      <c r="A31" s="7">
        <f t="shared" si="0"/>
        <v>27</v>
      </c>
      <c r="B31" s="1" t="s">
        <v>61</v>
      </c>
      <c r="C31" s="2">
        <v>6</v>
      </c>
      <c r="D31" s="2">
        <v>8</v>
      </c>
      <c r="E31" s="2">
        <v>14</v>
      </c>
      <c r="F31" s="2">
        <v>9</v>
      </c>
      <c r="G31" s="2">
        <v>9</v>
      </c>
      <c r="H31" s="2">
        <v>8</v>
      </c>
      <c r="I31" s="2">
        <f t="shared" si="1"/>
        <v>54</v>
      </c>
      <c r="J31" s="2" t="str">
        <f t="shared" si="2"/>
        <v>B+</v>
      </c>
      <c r="K31" s="2" t="s">
        <v>17</v>
      </c>
      <c r="L31" s="2" t="s">
        <v>56</v>
      </c>
      <c r="M31" s="3" t="s">
        <v>19</v>
      </c>
      <c r="N31" s="8" t="s">
        <v>20</v>
      </c>
    </row>
    <row r="32" spans="1:14" ht="25.5">
      <c r="A32" s="7">
        <f t="shared" si="0"/>
        <v>28</v>
      </c>
      <c r="B32" s="1" t="s">
        <v>62</v>
      </c>
      <c r="C32" s="2">
        <v>7</v>
      </c>
      <c r="D32" s="2">
        <v>5</v>
      </c>
      <c r="E32" s="2">
        <v>12</v>
      </c>
      <c r="F32" s="2">
        <v>5</v>
      </c>
      <c r="G32" s="2">
        <v>15</v>
      </c>
      <c r="H32" s="2">
        <v>9</v>
      </c>
      <c r="I32" s="2">
        <f t="shared" si="1"/>
        <v>53</v>
      </c>
      <c r="J32" s="2" t="str">
        <f t="shared" si="2"/>
        <v>B+</v>
      </c>
      <c r="K32" s="2" t="s">
        <v>52</v>
      </c>
      <c r="L32" s="2" t="s">
        <v>56</v>
      </c>
      <c r="M32" s="3" t="s">
        <v>63</v>
      </c>
      <c r="N32" s="8" t="s">
        <v>20</v>
      </c>
    </row>
    <row r="33" spans="1:14" ht="25.5">
      <c r="A33" s="7">
        <f t="shared" si="0"/>
        <v>28</v>
      </c>
      <c r="B33" s="1" t="s">
        <v>64</v>
      </c>
      <c r="C33" s="2">
        <v>6</v>
      </c>
      <c r="D33" s="2">
        <v>6</v>
      </c>
      <c r="E33" s="2">
        <v>11</v>
      </c>
      <c r="F33" s="2">
        <v>8</v>
      </c>
      <c r="G33" s="2">
        <v>12</v>
      </c>
      <c r="H33" s="2">
        <v>10</v>
      </c>
      <c r="I33" s="2">
        <f t="shared" si="1"/>
        <v>53</v>
      </c>
      <c r="J33" s="2" t="str">
        <f t="shared" si="2"/>
        <v>B+</v>
      </c>
      <c r="K33" s="2" t="s">
        <v>17</v>
      </c>
      <c r="L33" s="2" t="s">
        <v>56</v>
      </c>
      <c r="M33" s="3" t="s">
        <v>19</v>
      </c>
      <c r="N33" s="8" t="s">
        <v>20</v>
      </c>
    </row>
    <row r="34" spans="1:14" ht="38.25">
      <c r="A34" s="7">
        <f t="shared" si="0"/>
        <v>30</v>
      </c>
      <c r="B34" s="1" t="s">
        <v>65</v>
      </c>
      <c r="C34" s="2">
        <v>4</v>
      </c>
      <c r="D34" s="2">
        <v>7</v>
      </c>
      <c r="E34" s="2">
        <v>15</v>
      </c>
      <c r="F34" s="2">
        <v>9</v>
      </c>
      <c r="G34" s="2">
        <v>10</v>
      </c>
      <c r="H34" s="2">
        <v>6</v>
      </c>
      <c r="I34" s="2">
        <f t="shared" si="1"/>
        <v>51</v>
      </c>
      <c r="J34" s="2" t="str">
        <f t="shared" si="2"/>
        <v>B+</v>
      </c>
      <c r="K34" s="2" t="s">
        <v>17</v>
      </c>
      <c r="L34" s="2" t="s">
        <v>56</v>
      </c>
      <c r="M34" s="3" t="s">
        <v>66</v>
      </c>
      <c r="N34" s="8" t="s">
        <v>20</v>
      </c>
    </row>
    <row r="35" spans="1:14" ht="25.5">
      <c r="A35" s="7">
        <f t="shared" si="0"/>
        <v>31</v>
      </c>
      <c r="B35" s="1" t="s">
        <v>67</v>
      </c>
      <c r="C35" s="2">
        <v>7</v>
      </c>
      <c r="D35" s="2">
        <v>6</v>
      </c>
      <c r="E35" s="2">
        <v>10</v>
      </c>
      <c r="F35" s="2">
        <v>8</v>
      </c>
      <c r="G35" s="2">
        <v>11</v>
      </c>
      <c r="H35" s="2">
        <v>8</v>
      </c>
      <c r="I35" s="2">
        <f t="shared" si="1"/>
        <v>50</v>
      </c>
      <c r="J35" s="2" t="str">
        <f t="shared" si="2"/>
        <v>B+</v>
      </c>
      <c r="K35" s="2" t="s">
        <v>17</v>
      </c>
      <c r="L35" s="2" t="s">
        <v>56</v>
      </c>
      <c r="M35" s="3" t="s">
        <v>19</v>
      </c>
      <c r="N35" s="8" t="s">
        <v>20</v>
      </c>
    </row>
    <row r="36" spans="1:14" ht="38.25">
      <c r="A36" s="7">
        <f t="shared" si="0"/>
        <v>32</v>
      </c>
      <c r="B36" s="1" t="s">
        <v>68</v>
      </c>
      <c r="C36" s="2">
        <v>6</v>
      </c>
      <c r="D36" s="2">
        <v>4</v>
      </c>
      <c r="E36" s="2">
        <v>7</v>
      </c>
      <c r="F36" s="2">
        <v>6</v>
      </c>
      <c r="G36" s="2">
        <v>15</v>
      </c>
      <c r="H36" s="2">
        <v>10</v>
      </c>
      <c r="I36" s="2">
        <f t="shared" si="1"/>
        <v>48</v>
      </c>
      <c r="J36" s="2" t="str">
        <f t="shared" si="2"/>
        <v>B</v>
      </c>
      <c r="K36" s="2" t="s">
        <v>69</v>
      </c>
      <c r="L36" s="2" t="s">
        <v>56</v>
      </c>
      <c r="M36" s="3" t="s">
        <v>70</v>
      </c>
      <c r="N36" s="8" t="s">
        <v>30</v>
      </c>
    </row>
    <row r="37" spans="1:14" ht="25.5">
      <c r="A37" s="7">
        <f t="shared" ref="A37:A68" si="3">RANK(I37,$I$5:$I$90,0)</f>
        <v>32</v>
      </c>
      <c r="B37" s="1" t="s">
        <v>71</v>
      </c>
      <c r="C37" s="2">
        <v>7</v>
      </c>
      <c r="D37" s="2">
        <v>5</v>
      </c>
      <c r="E37" s="2">
        <v>6</v>
      </c>
      <c r="F37" s="2">
        <v>5</v>
      </c>
      <c r="G37" s="2">
        <v>15</v>
      </c>
      <c r="H37" s="2">
        <v>10</v>
      </c>
      <c r="I37" s="2">
        <f t="shared" ref="I37:I68" si="4">SUM(C37:H37)</f>
        <v>48</v>
      </c>
      <c r="J37" s="2" t="str">
        <f t="shared" ref="J37:J68" si="5">IF(I37&gt;=90,"S+",IF(I37&gt;=80,"S",IF(I37&gt;=70,"A+",IF(I37&gt;=60,"A",IF(I37&gt;=50,"B+",IF(I37&gt;=40,"B",IF(I37&gt;=30,"C+",IF(I37&gt;=20,"C",IF(I37&gt;=10,"D+","D")))))))))</f>
        <v>B</v>
      </c>
      <c r="K37" s="2" t="s">
        <v>17</v>
      </c>
      <c r="L37" s="2" t="s">
        <v>56</v>
      </c>
      <c r="M37" s="3" t="s">
        <v>19</v>
      </c>
      <c r="N37" s="8" t="s">
        <v>20</v>
      </c>
    </row>
    <row r="38" spans="1:14" ht="25.5">
      <c r="A38" s="7">
        <f t="shared" si="3"/>
        <v>34</v>
      </c>
      <c r="B38" s="1" t="s">
        <v>72</v>
      </c>
      <c r="C38" s="2">
        <v>5</v>
      </c>
      <c r="D38" s="2">
        <v>4</v>
      </c>
      <c r="E38" s="2">
        <v>8</v>
      </c>
      <c r="F38" s="2">
        <v>7</v>
      </c>
      <c r="G38" s="2">
        <v>15</v>
      </c>
      <c r="H38" s="2">
        <v>8</v>
      </c>
      <c r="I38" s="2">
        <f t="shared" si="4"/>
        <v>47</v>
      </c>
      <c r="J38" s="2" t="str">
        <f t="shared" si="5"/>
        <v>B</v>
      </c>
      <c r="K38" s="2" t="s">
        <v>69</v>
      </c>
      <c r="L38" s="2" t="s">
        <v>56</v>
      </c>
      <c r="M38" s="3" t="s">
        <v>19</v>
      </c>
      <c r="N38" s="8" t="s">
        <v>30</v>
      </c>
    </row>
    <row r="39" spans="1:14" ht="25.5">
      <c r="A39" s="7">
        <f t="shared" si="3"/>
        <v>35</v>
      </c>
      <c r="B39" s="1" t="s">
        <v>73</v>
      </c>
      <c r="C39" s="2">
        <v>5</v>
      </c>
      <c r="D39" s="2">
        <v>6</v>
      </c>
      <c r="E39" s="2">
        <v>8</v>
      </c>
      <c r="F39" s="2">
        <v>7</v>
      </c>
      <c r="G39" s="2">
        <v>10</v>
      </c>
      <c r="H39" s="2">
        <v>10</v>
      </c>
      <c r="I39" s="2">
        <f t="shared" si="4"/>
        <v>46</v>
      </c>
      <c r="J39" s="2" t="str">
        <f t="shared" si="5"/>
        <v>B</v>
      </c>
      <c r="K39" s="2" t="s">
        <v>17</v>
      </c>
      <c r="L39" s="2" t="s">
        <v>56</v>
      </c>
      <c r="M39" s="3" t="s">
        <v>19</v>
      </c>
      <c r="N39" s="8" t="s">
        <v>20</v>
      </c>
    </row>
    <row r="40" spans="1:14" ht="25.5">
      <c r="A40" s="7">
        <f t="shared" si="3"/>
        <v>35</v>
      </c>
      <c r="B40" s="1" t="s">
        <v>74</v>
      </c>
      <c r="C40" s="2">
        <v>8</v>
      </c>
      <c r="D40" s="2">
        <v>5</v>
      </c>
      <c r="E40" s="2">
        <v>6</v>
      </c>
      <c r="F40" s="2">
        <v>5</v>
      </c>
      <c r="G40" s="2">
        <v>12</v>
      </c>
      <c r="H40" s="2">
        <v>10</v>
      </c>
      <c r="I40" s="2">
        <f t="shared" si="4"/>
        <v>46</v>
      </c>
      <c r="J40" s="2" t="str">
        <f t="shared" si="5"/>
        <v>B</v>
      </c>
      <c r="K40" s="2" t="s">
        <v>17</v>
      </c>
      <c r="L40" s="2" t="s">
        <v>56</v>
      </c>
      <c r="M40" s="3" t="s">
        <v>19</v>
      </c>
      <c r="N40" s="8" t="s">
        <v>20</v>
      </c>
    </row>
    <row r="41" spans="1:14" ht="25.5">
      <c r="A41" s="7">
        <f t="shared" si="3"/>
        <v>37</v>
      </c>
      <c r="B41" s="1" t="s">
        <v>75</v>
      </c>
      <c r="C41" s="2">
        <v>9</v>
      </c>
      <c r="D41" s="2">
        <v>6</v>
      </c>
      <c r="E41" s="2">
        <v>2</v>
      </c>
      <c r="F41" s="2">
        <v>9</v>
      </c>
      <c r="G41" s="2">
        <v>8</v>
      </c>
      <c r="H41" s="2">
        <v>10</v>
      </c>
      <c r="I41" s="2">
        <f t="shared" si="4"/>
        <v>44</v>
      </c>
      <c r="J41" s="2" t="str">
        <f t="shared" si="5"/>
        <v>B</v>
      </c>
      <c r="K41" s="2" t="s">
        <v>76</v>
      </c>
      <c r="L41" s="2" t="s">
        <v>56</v>
      </c>
      <c r="M41" s="3" t="s">
        <v>77</v>
      </c>
      <c r="N41" s="8" t="s">
        <v>20</v>
      </c>
    </row>
    <row r="42" spans="1:14" ht="25.5">
      <c r="A42" s="7">
        <f t="shared" si="3"/>
        <v>37</v>
      </c>
      <c r="B42" s="1" t="s">
        <v>78</v>
      </c>
      <c r="C42" s="2">
        <v>5</v>
      </c>
      <c r="D42" s="2">
        <v>8</v>
      </c>
      <c r="E42" s="2">
        <v>6</v>
      </c>
      <c r="F42" s="2">
        <v>7</v>
      </c>
      <c r="G42" s="2">
        <v>8</v>
      </c>
      <c r="H42" s="2">
        <v>10</v>
      </c>
      <c r="I42" s="2">
        <f t="shared" si="4"/>
        <v>44</v>
      </c>
      <c r="J42" s="2" t="str">
        <f t="shared" si="5"/>
        <v>B</v>
      </c>
      <c r="K42" s="2" t="s">
        <v>17</v>
      </c>
      <c r="L42" s="2" t="s">
        <v>56</v>
      </c>
      <c r="M42" s="3" t="s">
        <v>19</v>
      </c>
      <c r="N42" s="8" t="s">
        <v>20</v>
      </c>
    </row>
    <row r="43" spans="1:14" ht="25.5">
      <c r="A43" s="7">
        <f t="shared" si="3"/>
        <v>39</v>
      </c>
      <c r="B43" s="1" t="s">
        <v>79</v>
      </c>
      <c r="C43" s="2">
        <v>5</v>
      </c>
      <c r="D43" s="2">
        <v>10</v>
      </c>
      <c r="E43" s="2">
        <v>5</v>
      </c>
      <c r="F43" s="2">
        <v>4</v>
      </c>
      <c r="G43" s="2">
        <v>9</v>
      </c>
      <c r="H43" s="2">
        <v>10</v>
      </c>
      <c r="I43" s="2">
        <f t="shared" si="4"/>
        <v>43</v>
      </c>
      <c r="J43" s="2" t="str">
        <f t="shared" si="5"/>
        <v>B</v>
      </c>
      <c r="K43" s="2" t="s">
        <v>17</v>
      </c>
      <c r="L43" s="2" t="s">
        <v>56</v>
      </c>
      <c r="M43" s="3" t="s">
        <v>19</v>
      </c>
      <c r="N43" s="8" t="s">
        <v>20</v>
      </c>
    </row>
    <row r="44" spans="1:14" ht="25.5">
      <c r="A44" s="7">
        <f t="shared" si="3"/>
        <v>40</v>
      </c>
      <c r="B44" s="1" t="s">
        <v>80</v>
      </c>
      <c r="C44" s="2">
        <v>4</v>
      </c>
      <c r="D44" s="2">
        <v>4</v>
      </c>
      <c r="E44" s="2">
        <v>8</v>
      </c>
      <c r="F44" s="2">
        <v>8</v>
      </c>
      <c r="G44" s="2">
        <v>8</v>
      </c>
      <c r="H44" s="2">
        <v>10</v>
      </c>
      <c r="I44" s="2">
        <f t="shared" si="4"/>
        <v>42</v>
      </c>
      <c r="J44" s="2" t="str">
        <f t="shared" si="5"/>
        <v>B</v>
      </c>
      <c r="K44" s="2" t="s">
        <v>81</v>
      </c>
      <c r="L44" s="2" t="s">
        <v>56</v>
      </c>
      <c r="M44" s="3" t="s">
        <v>82</v>
      </c>
      <c r="N44" s="8" t="s">
        <v>20</v>
      </c>
    </row>
    <row r="45" spans="1:14" ht="25.5">
      <c r="A45" s="7">
        <f t="shared" si="3"/>
        <v>40</v>
      </c>
      <c r="B45" s="1" t="s">
        <v>83</v>
      </c>
      <c r="C45" s="2">
        <v>7</v>
      </c>
      <c r="D45" s="2">
        <v>5</v>
      </c>
      <c r="E45" s="2">
        <v>4</v>
      </c>
      <c r="F45" s="2">
        <v>8</v>
      </c>
      <c r="G45" s="2">
        <v>8</v>
      </c>
      <c r="H45" s="2">
        <v>10</v>
      </c>
      <c r="I45" s="2">
        <f t="shared" si="4"/>
        <v>42</v>
      </c>
      <c r="J45" s="2" t="str">
        <f t="shared" si="5"/>
        <v>B</v>
      </c>
      <c r="K45" s="2" t="s">
        <v>17</v>
      </c>
      <c r="L45" s="2" t="s">
        <v>56</v>
      </c>
      <c r="M45" s="3" t="s">
        <v>19</v>
      </c>
      <c r="N45" s="8" t="s">
        <v>20</v>
      </c>
    </row>
    <row r="46" spans="1:14" ht="25.5">
      <c r="A46" s="7">
        <f t="shared" si="3"/>
        <v>42</v>
      </c>
      <c r="B46" s="1" t="s">
        <v>84</v>
      </c>
      <c r="C46" s="2">
        <v>6</v>
      </c>
      <c r="D46" s="2">
        <v>4</v>
      </c>
      <c r="E46" s="2">
        <v>4</v>
      </c>
      <c r="F46" s="2">
        <v>8</v>
      </c>
      <c r="G46" s="2">
        <v>9</v>
      </c>
      <c r="H46" s="2">
        <v>10</v>
      </c>
      <c r="I46" s="2">
        <f t="shared" si="4"/>
        <v>41</v>
      </c>
      <c r="J46" s="2" t="str">
        <f t="shared" si="5"/>
        <v>B</v>
      </c>
      <c r="K46" s="2" t="s">
        <v>17</v>
      </c>
      <c r="L46" s="2" t="s">
        <v>56</v>
      </c>
      <c r="M46" s="3" t="s">
        <v>19</v>
      </c>
      <c r="N46" s="8" t="s">
        <v>20</v>
      </c>
    </row>
    <row r="47" spans="1:14" ht="25.5">
      <c r="A47" s="7">
        <f t="shared" si="3"/>
        <v>43</v>
      </c>
      <c r="B47" s="1" t="s">
        <v>85</v>
      </c>
      <c r="C47" s="2">
        <v>5</v>
      </c>
      <c r="D47" s="2">
        <v>4</v>
      </c>
      <c r="E47" s="2">
        <v>9</v>
      </c>
      <c r="F47" s="2">
        <v>8</v>
      </c>
      <c r="G47" s="2">
        <v>8</v>
      </c>
      <c r="H47" s="2">
        <v>6</v>
      </c>
      <c r="I47" s="2">
        <f t="shared" si="4"/>
        <v>40</v>
      </c>
      <c r="J47" s="2" t="str">
        <f t="shared" si="5"/>
        <v>B</v>
      </c>
      <c r="K47" s="2" t="s">
        <v>17</v>
      </c>
      <c r="L47" s="2" t="s">
        <v>56</v>
      </c>
      <c r="M47" s="3" t="s">
        <v>19</v>
      </c>
      <c r="N47" s="8" t="s">
        <v>20</v>
      </c>
    </row>
    <row r="48" spans="1:14" ht="25.5">
      <c r="A48" s="7">
        <f t="shared" si="3"/>
        <v>44</v>
      </c>
      <c r="B48" s="1" t="s">
        <v>86</v>
      </c>
      <c r="C48" s="2">
        <v>6</v>
      </c>
      <c r="D48" s="2">
        <v>3</v>
      </c>
      <c r="E48" s="2">
        <v>5</v>
      </c>
      <c r="F48" s="2">
        <v>4</v>
      </c>
      <c r="G48" s="2">
        <v>13</v>
      </c>
      <c r="H48" s="2">
        <v>8</v>
      </c>
      <c r="I48" s="2">
        <f t="shared" si="4"/>
        <v>39</v>
      </c>
      <c r="J48" s="2" t="str">
        <f t="shared" si="5"/>
        <v>C+</v>
      </c>
      <c r="K48" s="2" t="s">
        <v>17</v>
      </c>
      <c r="L48" s="2" t="s">
        <v>87</v>
      </c>
      <c r="M48" s="3" t="s">
        <v>19</v>
      </c>
      <c r="N48" s="8" t="s">
        <v>20</v>
      </c>
    </row>
    <row r="49" spans="1:14" ht="25.5">
      <c r="A49" s="7">
        <f t="shared" si="3"/>
        <v>45</v>
      </c>
      <c r="B49" s="1" t="s">
        <v>88</v>
      </c>
      <c r="C49" s="2">
        <v>4</v>
      </c>
      <c r="D49" s="2">
        <v>4</v>
      </c>
      <c r="E49" s="2">
        <v>5</v>
      </c>
      <c r="F49" s="2">
        <v>7</v>
      </c>
      <c r="G49" s="2">
        <v>8</v>
      </c>
      <c r="H49" s="2">
        <v>10</v>
      </c>
      <c r="I49" s="2">
        <f t="shared" si="4"/>
        <v>38</v>
      </c>
      <c r="J49" s="2" t="str">
        <f t="shared" si="5"/>
        <v>C+</v>
      </c>
      <c r="K49" s="2" t="s">
        <v>17</v>
      </c>
      <c r="L49" s="2" t="s">
        <v>87</v>
      </c>
      <c r="M49" s="3" t="s">
        <v>19</v>
      </c>
      <c r="N49" s="8" t="s">
        <v>20</v>
      </c>
    </row>
    <row r="50" spans="1:14" ht="25.5">
      <c r="A50" s="7">
        <f t="shared" si="3"/>
        <v>46</v>
      </c>
      <c r="B50" s="1" t="s">
        <v>89</v>
      </c>
      <c r="C50" s="2">
        <v>5</v>
      </c>
      <c r="D50" s="2">
        <v>4</v>
      </c>
      <c r="E50" s="2">
        <v>4</v>
      </c>
      <c r="F50" s="2">
        <v>7</v>
      </c>
      <c r="G50" s="2">
        <v>7</v>
      </c>
      <c r="H50" s="2">
        <v>10</v>
      </c>
      <c r="I50" s="2">
        <f t="shared" si="4"/>
        <v>37</v>
      </c>
      <c r="J50" s="2" t="str">
        <f t="shared" si="5"/>
        <v>C+</v>
      </c>
      <c r="K50" s="2" t="s">
        <v>17</v>
      </c>
      <c r="L50" s="2" t="s">
        <v>87</v>
      </c>
      <c r="M50" s="3" t="s">
        <v>19</v>
      </c>
      <c r="N50" s="8" t="s">
        <v>20</v>
      </c>
    </row>
    <row r="51" spans="1:14" ht="25.5">
      <c r="A51" s="7">
        <f t="shared" si="3"/>
        <v>47</v>
      </c>
      <c r="B51" s="1" t="s">
        <v>90</v>
      </c>
      <c r="C51" s="2">
        <v>4</v>
      </c>
      <c r="D51" s="2">
        <v>4</v>
      </c>
      <c r="E51" s="2">
        <v>5</v>
      </c>
      <c r="F51" s="2">
        <v>4</v>
      </c>
      <c r="G51" s="2">
        <v>10</v>
      </c>
      <c r="H51" s="2">
        <v>9</v>
      </c>
      <c r="I51" s="2">
        <f t="shared" si="4"/>
        <v>36</v>
      </c>
      <c r="J51" s="2" t="str">
        <f t="shared" si="5"/>
        <v>C+</v>
      </c>
      <c r="K51" s="2" t="s">
        <v>17</v>
      </c>
      <c r="L51" s="2" t="s">
        <v>87</v>
      </c>
      <c r="M51" s="3" t="s">
        <v>19</v>
      </c>
      <c r="N51" s="8" t="s">
        <v>20</v>
      </c>
    </row>
    <row r="52" spans="1:14" ht="25.5">
      <c r="A52" s="7">
        <f t="shared" si="3"/>
        <v>47</v>
      </c>
      <c r="B52" s="1" t="s">
        <v>91</v>
      </c>
      <c r="C52" s="2">
        <v>4</v>
      </c>
      <c r="D52" s="2">
        <v>5</v>
      </c>
      <c r="E52" s="2">
        <v>5</v>
      </c>
      <c r="F52" s="2">
        <v>6</v>
      </c>
      <c r="G52" s="2">
        <v>8</v>
      </c>
      <c r="H52" s="2">
        <v>8</v>
      </c>
      <c r="I52" s="2">
        <f t="shared" si="4"/>
        <v>36</v>
      </c>
      <c r="J52" s="2" t="str">
        <f t="shared" si="5"/>
        <v>C+</v>
      </c>
      <c r="K52" s="2" t="s">
        <v>17</v>
      </c>
      <c r="L52" s="2" t="s">
        <v>87</v>
      </c>
      <c r="M52" s="3" t="s">
        <v>19</v>
      </c>
      <c r="N52" s="8" t="s">
        <v>20</v>
      </c>
    </row>
    <row r="53" spans="1:14" ht="25.5">
      <c r="A53" s="7">
        <f t="shared" si="3"/>
        <v>49</v>
      </c>
      <c r="B53" s="1" t="s">
        <v>92</v>
      </c>
      <c r="C53" s="2">
        <v>4</v>
      </c>
      <c r="D53" s="2">
        <v>3</v>
      </c>
      <c r="E53" s="2">
        <v>4</v>
      </c>
      <c r="F53" s="2">
        <v>3</v>
      </c>
      <c r="G53" s="2">
        <v>13</v>
      </c>
      <c r="H53" s="2">
        <v>7</v>
      </c>
      <c r="I53" s="2">
        <f t="shared" si="4"/>
        <v>34</v>
      </c>
      <c r="J53" s="2" t="str">
        <f t="shared" si="5"/>
        <v>C+</v>
      </c>
      <c r="K53" s="2" t="s">
        <v>55</v>
      </c>
      <c r="L53" s="2" t="s">
        <v>87</v>
      </c>
      <c r="M53" s="3" t="s">
        <v>19</v>
      </c>
      <c r="N53" s="8" t="s">
        <v>20</v>
      </c>
    </row>
    <row r="54" spans="1:14" ht="25.5">
      <c r="A54" s="7">
        <f t="shared" si="3"/>
        <v>49</v>
      </c>
      <c r="B54" s="1" t="s">
        <v>93</v>
      </c>
      <c r="C54" s="2">
        <v>5</v>
      </c>
      <c r="D54" s="2">
        <v>4</v>
      </c>
      <c r="E54" s="2">
        <v>6</v>
      </c>
      <c r="F54" s="2">
        <v>5</v>
      </c>
      <c r="G54" s="2">
        <v>9</v>
      </c>
      <c r="H54" s="2">
        <v>5</v>
      </c>
      <c r="I54" s="2">
        <f t="shared" si="4"/>
        <v>34</v>
      </c>
      <c r="J54" s="2" t="str">
        <f t="shared" si="5"/>
        <v>C+</v>
      </c>
      <c r="K54" s="2" t="s">
        <v>17</v>
      </c>
      <c r="L54" s="2" t="s">
        <v>87</v>
      </c>
      <c r="M54" s="3" t="s">
        <v>19</v>
      </c>
      <c r="N54" s="8" t="s">
        <v>20</v>
      </c>
    </row>
    <row r="55" spans="1:14" ht="25.5">
      <c r="A55" s="7">
        <f t="shared" si="3"/>
        <v>51</v>
      </c>
      <c r="B55" s="1" t="s">
        <v>94</v>
      </c>
      <c r="C55" s="2">
        <v>4</v>
      </c>
      <c r="D55" s="2">
        <v>4</v>
      </c>
      <c r="E55" s="2">
        <v>5</v>
      </c>
      <c r="F55" s="2">
        <v>4</v>
      </c>
      <c r="G55" s="2">
        <v>8</v>
      </c>
      <c r="H55" s="2">
        <v>8</v>
      </c>
      <c r="I55" s="2">
        <f t="shared" si="4"/>
        <v>33</v>
      </c>
      <c r="J55" s="2" t="str">
        <f t="shared" si="5"/>
        <v>C+</v>
      </c>
      <c r="K55" s="2" t="s">
        <v>95</v>
      </c>
      <c r="L55" s="2" t="s">
        <v>87</v>
      </c>
      <c r="M55" s="3" t="s">
        <v>19</v>
      </c>
      <c r="N55" s="8" t="s">
        <v>20</v>
      </c>
    </row>
    <row r="56" spans="1:14" ht="25.5">
      <c r="A56" s="7">
        <f t="shared" si="3"/>
        <v>51</v>
      </c>
      <c r="B56" s="1" t="s">
        <v>96</v>
      </c>
      <c r="C56" s="2">
        <v>3</v>
      </c>
      <c r="D56" s="2">
        <v>4</v>
      </c>
      <c r="E56" s="2">
        <v>4</v>
      </c>
      <c r="F56" s="2">
        <v>4</v>
      </c>
      <c r="G56" s="2">
        <v>13</v>
      </c>
      <c r="H56" s="2">
        <v>5</v>
      </c>
      <c r="I56" s="2">
        <f t="shared" si="4"/>
        <v>33</v>
      </c>
      <c r="J56" s="2" t="str">
        <f t="shared" si="5"/>
        <v>C+</v>
      </c>
      <c r="K56" s="2" t="s">
        <v>97</v>
      </c>
      <c r="L56" s="2" t="s">
        <v>87</v>
      </c>
      <c r="M56" s="3" t="s">
        <v>19</v>
      </c>
      <c r="N56" s="8" t="s">
        <v>30</v>
      </c>
    </row>
    <row r="57" spans="1:14" ht="25.5">
      <c r="A57" s="7">
        <f t="shared" si="3"/>
        <v>53</v>
      </c>
      <c r="B57" s="1" t="s">
        <v>98</v>
      </c>
      <c r="C57" s="2">
        <v>3</v>
      </c>
      <c r="D57" s="2">
        <v>3</v>
      </c>
      <c r="E57" s="2">
        <v>7</v>
      </c>
      <c r="F57" s="2">
        <v>8</v>
      </c>
      <c r="G57" s="2">
        <v>5</v>
      </c>
      <c r="H57" s="2">
        <v>6</v>
      </c>
      <c r="I57" s="2">
        <f t="shared" si="4"/>
        <v>32</v>
      </c>
      <c r="J57" s="2" t="str">
        <f t="shared" si="5"/>
        <v>C+</v>
      </c>
      <c r="K57" s="2" t="s">
        <v>17</v>
      </c>
      <c r="L57" s="2" t="s">
        <v>87</v>
      </c>
      <c r="M57" s="3" t="s">
        <v>19</v>
      </c>
      <c r="N57" s="8" t="s">
        <v>20</v>
      </c>
    </row>
    <row r="58" spans="1:14" ht="25.5">
      <c r="A58" s="7">
        <f t="shared" si="3"/>
        <v>53</v>
      </c>
      <c r="B58" s="1" t="s">
        <v>99</v>
      </c>
      <c r="C58" s="2">
        <v>4</v>
      </c>
      <c r="D58" s="2">
        <v>5</v>
      </c>
      <c r="E58" s="2">
        <v>4</v>
      </c>
      <c r="F58" s="2">
        <v>5</v>
      </c>
      <c r="G58" s="2">
        <v>6</v>
      </c>
      <c r="H58" s="2">
        <v>8</v>
      </c>
      <c r="I58" s="2">
        <f t="shared" si="4"/>
        <v>32</v>
      </c>
      <c r="J58" s="2" t="str">
        <f t="shared" si="5"/>
        <v>C+</v>
      </c>
      <c r="K58" s="2" t="s">
        <v>17</v>
      </c>
      <c r="L58" s="2" t="s">
        <v>87</v>
      </c>
      <c r="M58" s="3" t="s">
        <v>19</v>
      </c>
      <c r="N58" s="8" t="s">
        <v>20</v>
      </c>
    </row>
    <row r="59" spans="1:14" ht="25.5">
      <c r="A59" s="7">
        <f t="shared" si="3"/>
        <v>53</v>
      </c>
      <c r="B59" s="1" t="s">
        <v>100</v>
      </c>
      <c r="C59" s="2">
        <v>4</v>
      </c>
      <c r="D59" s="2">
        <v>8</v>
      </c>
      <c r="E59" s="2">
        <v>4</v>
      </c>
      <c r="F59" s="2">
        <v>3</v>
      </c>
      <c r="G59" s="2">
        <v>5</v>
      </c>
      <c r="H59" s="2">
        <v>8</v>
      </c>
      <c r="I59" s="2">
        <f t="shared" si="4"/>
        <v>32</v>
      </c>
      <c r="J59" s="2" t="str">
        <f t="shared" si="5"/>
        <v>C+</v>
      </c>
      <c r="K59" s="2" t="s">
        <v>17</v>
      </c>
      <c r="L59" s="2" t="s">
        <v>87</v>
      </c>
      <c r="M59" s="3" t="s">
        <v>19</v>
      </c>
      <c r="N59" s="8" t="s">
        <v>20</v>
      </c>
    </row>
    <row r="60" spans="1:14" ht="25.5">
      <c r="A60" s="7">
        <f t="shared" si="3"/>
        <v>56</v>
      </c>
      <c r="B60" s="1" t="s">
        <v>101</v>
      </c>
      <c r="C60" s="2">
        <v>4</v>
      </c>
      <c r="D60" s="2">
        <v>5</v>
      </c>
      <c r="E60" s="2">
        <v>4</v>
      </c>
      <c r="F60" s="2">
        <v>4</v>
      </c>
      <c r="G60" s="2">
        <v>6</v>
      </c>
      <c r="H60" s="2">
        <v>7</v>
      </c>
      <c r="I60" s="2">
        <f t="shared" si="4"/>
        <v>30</v>
      </c>
      <c r="J60" s="2" t="str">
        <f t="shared" si="5"/>
        <v>C+</v>
      </c>
      <c r="K60" s="2" t="s">
        <v>17</v>
      </c>
      <c r="L60" s="2" t="s">
        <v>87</v>
      </c>
      <c r="M60" s="3" t="s">
        <v>19</v>
      </c>
      <c r="N60" s="8" t="s">
        <v>20</v>
      </c>
    </row>
    <row r="61" spans="1:14" ht="25.5">
      <c r="A61" s="7">
        <f t="shared" si="3"/>
        <v>56</v>
      </c>
      <c r="B61" s="1" t="s">
        <v>102</v>
      </c>
      <c r="C61" s="2">
        <v>4</v>
      </c>
      <c r="D61" s="2">
        <v>3</v>
      </c>
      <c r="E61" s="2">
        <v>4</v>
      </c>
      <c r="F61" s="2">
        <v>5</v>
      </c>
      <c r="G61" s="2">
        <v>6</v>
      </c>
      <c r="H61" s="2">
        <v>8</v>
      </c>
      <c r="I61" s="2">
        <f t="shared" si="4"/>
        <v>30</v>
      </c>
      <c r="J61" s="2" t="str">
        <f t="shared" si="5"/>
        <v>C+</v>
      </c>
      <c r="K61" s="2" t="s">
        <v>17</v>
      </c>
      <c r="L61" s="2" t="s">
        <v>87</v>
      </c>
      <c r="M61" s="3" t="s">
        <v>19</v>
      </c>
      <c r="N61" s="8" t="s">
        <v>20</v>
      </c>
    </row>
    <row r="62" spans="1:14" ht="25.5">
      <c r="A62" s="7">
        <f t="shared" si="3"/>
        <v>58</v>
      </c>
      <c r="B62" s="1" t="s">
        <v>103</v>
      </c>
      <c r="C62" s="2">
        <v>3</v>
      </c>
      <c r="D62" s="2">
        <v>2</v>
      </c>
      <c r="E62" s="2">
        <v>3</v>
      </c>
      <c r="F62" s="2">
        <v>4</v>
      </c>
      <c r="G62" s="2">
        <v>13</v>
      </c>
      <c r="H62" s="2">
        <v>4</v>
      </c>
      <c r="I62" s="2">
        <f t="shared" si="4"/>
        <v>29</v>
      </c>
      <c r="J62" s="2" t="str">
        <f t="shared" si="5"/>
        <v>C</v>
      </c>
      <c r="K62" s="2" t="s">
        <v>97</v>
      </c>
      <c r="L62" s="2" t="s">
        <v>87</v>
      </c>
      <c r="M62" s="3" t="s">
        <v>19</v>
      </c>
      <c r="N62" s="8" t="s">
        <v>30</v>
      </c>
    </row>
    <row r="63" spans="1:14" ht="25.5">
      <c r="A63" s="7">
        <f t="shared" si="3"/>
        <v>58</v>
      </c>
      <c r="B63" s="1" t="s">
        <v>104</v>
      </c>
      <c r="C63" s="2">
        <v>2</v>
      </c>
      <c r="D63" s="2">
        <v>3</v>
      </c>
      <c r="E63" s="2">
        <v>4</v>
      </c>
      <c r="F63" s="2">
        <v>6</v>
      </c>
      <c r="G63" s="2">
        <v>6</v>
      </c>
      <c r="H63" s="2">
        <v>8</v>
      </c>
      <c r="I63" s="2">
        <f t="shared" si="4"/>
        <v>29</v>
      </c>
      <c r="J63" s="2" t="str">
        <f t="shared" si="5"/>
        <v>C</v>
      </c>
      <c r="K63" s="2" t="s">
        <v>105</v>
      </c>
      <c r="L63" s="2" t="s">
        <v>87</v>
      </c>
      <c r="M63" s="3" t="s">
        <v>19</v>
      </c>
      <c r="N63" s="8" t="s">
        <v>20</v>
      </c>
    </row>
    <row r="64" spans="1:14" ht="25.5">
      <c r="A64" s="7">
        <f t="shared" si="3"/>
        <v>60</v>
      </c>
      <c r="B64" s="1" t="s">
        <v>106</v>
      </c>
      <c r="C64" s="2">
        <v>3</v>
      </c>
      <c r="D64" s="2">
        <v>3</v>
      </c>
      <c r="E64" s="2">
        <v>4</v>
      </c>
      <c r="F64" s="2">
        <v>3</v>
      </c>
      <c r="G64" s="2">
        <v>8</v>
      </c>
      <c r="H64" s="2">
        <v>7</v>
      </c>
      <c r="I64" s="2">
        <f t="shared" si="4"/>
        <v>28</v>
      </c>
      <c r="J64" s="2" t="str">
        <f t="shared" si="5"/>
        <v>C</v>
      </c>
      <c r="K64" s="2" t="s">
        <v>17</v>
      </c>
      <c r="L64" s="2" t="s">
        <v>87</v>
      </c>
      <c r="M64" s="3" t="s">
        <v>19</v>
      </c>
      <c r="N64" s="8" t="s">
        <v>20</v>
      </c>
    </row>
    <row r="65" spans="1:14" ht="25.5">
      <c r="A65" s="7">
        <f t="shared" si="3"/>
        <v>61</v>
      </c>
      <c r="B65" s="1" t="s">
        <v>107</v>
      </c>
      <c r="C65" s="2">
        <v>3</v>
      </c>
      <c r="D65" s="2">
        <v>3</v>
      </c>
      <c r="E65" s="2">
        <v>3</v>
      </c>
      <c r="F65" s="2">
        <v>3</v>
      </c>
      <c r="G65" s="2">
        <v>7</v>
      </c>
      <c r="H65" s="2">
        <v>8</v>
      </c>
      <c r="I65" s="2">
        <f t="shared" si="4"/>
        <v>27</v>
      </c>
      <c r="J65" s="2" t="str">
        <f t="shared" si="5"/>
        <v>C</v>
      </c>
      <c r="K65" s="2" t="s">
        <v>17</v>
      </c>
      <c r="L65" s="2" t="s">
        <v>87</v>
      </c>
      <c r="M65" s="3" t="s">
        <v>19</v>
      </c>
      <c r="N65" s="8" t="s">
        <v>20</v>
      </c>
    </row>
    <row r="66" spans="1:14" ht="25.5">
      <c r="A66" s="7">
        <f t="shared" si="3"/>
        <v>61</v>
      </c>
      <c r="B66" s="1" t="s">
        <v>108</v>
      </c>
      <c r="C66" s="2">
        <v>3</v>
      </c>
      <c r="D66" s="2">
        <v>3</v>
      </c>
      <c r="E66" s="2">
        <v>3</v>
      </c>
      <c r="F66" s="2">
        <v>3</v>
      </c>
      <c r="G66" s="2">
        <v>6</v>
      </c>
      <c r="H66" s="2">
        <v>9</v>
      </c>
      <c r="I66" s="2">
        <f t="shared" si="4"/>
        <v>27</v>
      </c>
      <c r="J66" s="2" t="str">
        <f t="shared" si="5"/>
        <v>C</v>
      </c>
      <c r="K66" s="2" t="s">
        <v>17</v>
      </c>
      <c r="L66" s="2" t="s">
        <v>87</v>
      </c>
      <c r="M66" s="3" t="s">
        <v>19</v>
      </c>
      <c r="N66" s="8" t="s">
        <v>20</v>
      </c>
    </row>
    <row r="67" spans="1:14" ht="38.25">
      <c r="A67" s="7">
        <f t="shared" si="3"/>
        <v>61</v>
      </c>
      <c r="B67" s="1" t="s">
        <v>109</v>
      </c>
      <c r="C67" s="2">
        <v>3</v>
      </c>
      <c r="D67" s="2">
        <v>3</v>
      </c>
      <c r="E67" s="2">
        <v>2</v>
      </c>
      <c r="F67" s="2">
        <v>7</v>
      </c>
      <c r="G67" s="2">
        <v>4</v>
      </c>
      <c r="H67" s="2">
        <v>8</v>
      </c>
      <c r="I67" s="2">
        <f t="shared" si="4"/>
        <v>27</v>
      </c>
      <c r="J67" s="2" t="str">
        <f t="shared" si="5"/>
        <v>C</v>
      </c>
      <c r="K67" s="2" t="s">
        <v>76</v>
      </c>
      <c r="L67" s="2" t="s">
        <v>87</v>
      </c>
      <c r="M67" s="3" t="s">
        <v>110</v>
      </c>
      <c r="N67" s="8" t="s">
        <v>20</v>
      </c>
    </row>
    <row r="68" spans="1:14" ht="25.5">
      <c r="A68" s="7">
        <f t="shared" si="3"/>
        <v>61</v>
      </c>
      <c r="B68" s="1" t="s">
        <v>111</v>
      </c>
      <c r="C68" s="2">
        <v>3</v>
      </c>
      <c r="D68" s="2">
        <v>2</v>
      </c>
      <c r="E68" s="2">
        <v>2</v>
      </c>
      <c r="F68" s="2">
        <v>6</v>
      </c>
      <c r="G68" s="2">
        <v>7</v>
      </c>
      <c r="H68" s="2">
        <v>7</v>
      </c>
      <c r="I68" s="2">
        <f t="shared" si="4"/>
        <v>27</v>
      </c>
      <c r="J68" s="2" t="str">
        <f t="shared" si="5"/>
        <v>C</v>
      </c>
      <c r="K68" s="2" t="s">
        <v>112</v>
      </c>
      <c r="L68" s="2" t="s">
        <v>87</v>
      </c>
      <c r="M68" s="3" t="s">
        <v>19</v>
      </c>
      <c r="N68" s="8" t="s">
        <v>30</v>
      </c>
    </row>
    <row r="69" spans="1:14" ht="38.25">
      <c r="A69" s="7">
        <f t="shared" ref="A69:A90" si="6">RANK(I69,$I$5:$I$90,0)</f>
        <v>65</v>
      </c>
      <c r="B69" s="1" t="s">
        <v>113</v>
      </c>
      <c r="C69" s="2">
        <v>3</v>
      </c>
      <c r="D69" s="2">
        <v>3</v>
      </c>
      <c r="E69" s="2">
        <v>2</v>
      </c>
      <c r="F69" s="2">
        <v>4</v>
      </c>
      <c r="G69" s="2">
        <v>6</v>
      </c>
      <c r="H69" s="2">
        <v>8</v>
      </c>
      <c r="I69" s="2">
        <f t="shared" ref="I69:I100" si="7">SUM(C69:H69)</f>
        <v>26</v>
      </c>
      <c r="J69" s="2" t="str">
        <f t="shared" ref="J69:J100" si="8">IF(I69&gt;=90,"S+",IF(I69&gt;=80,"S",IF(I69&gt;=70,"A+",IF(I69&gt;=60,"A",IF(I69&gt;=50,"B+",IF(I69&gt;=40,"B",IF(I69&gt;=30,"C+",IF(I69&gt;=20,"C",IF(I69&gt;=10,"D+","D")))))))))</f>
        <v>C</v>
      </c>
      <c r="K69" s="2" t="s">
        <v>76</v>
      </c>
      <c r="L69" s="2" t="s">
        <v>87</v>
      </c>
      <c r="M69" s="3" t="s">
        <v>114</v>
      </c>
      <c r="N69" s="8" t="s">
        <v>20</v>
      </c>
    </row>
    <row r="70" spans="1:14" ht="25.5">
      <c r="A70" s="7">
        <f t="shared" si="6"/>
        <v>65</v>
      </c>
      <c r="B70" s="1" t="s">
        <v>115</v>
      </c>
      <c r="C70" s="2">
        <v>3</v>
      </c>
      <c r="D70" s="2">
        <v>3</v>
      </c>
      <c r="E70" s="2">
        <v>3</v>
      </c>
      <c r="F70" s="2">
        <v>3</v>
      </c>
      <c r="G70" s="2">
        <v>6</v>
      </c>
      <c r="H70" s="2">
        <v>8</v>
      </c>
      <c r="I70" s="2">
        <f t="shared" si="7"/>
        <v>26</v>
      </c>
      <c r="J70" s="2" t="str">
        <f t="shared" si="8"/>
        <v>C</v>
      </c>
      <c r="K70" s="2" t="s">
        <v>17</v>
      </c>
      <c r="L70" s="2" t="s">
        <v>87</v>
      </c>
      <c r="M70" s="3" t="s">
        <v>19</v>
      </c>
      <c r="N70" s="8" t="s">
        <v>20</v>
      </c>
    </row>
    <row r="71" spans="1:14" ht="25.5">
      <c r="A71" s="7">
        <f t="shared" si="6"/>
        <v>67</v>
      </c>
      <c r="B71" s="1" t="s">
        <v>116</v>
      </c>
      <c r="C71" s="2">
        <v>3</v>
      </c>
      <c r="D71" s="2">
        <v>4</v>
      </c>
      <c r="E71" s="2">
        <v>4</v>
      </c>
      <c r="F71" s="2">
        <v>4</v>
      </c>
      <c r="G71" s="2">
        <v>6</v>
      </c>
      <c r="H71" s="2">
        <v>4</v>
      </c>
      <c r="I71" s="2">
        <f t="shared" si="7"/>
        <v>25</v>
      </c>
      <c r="J71" s="2" t="str">
        <f t="shared" si="8"/>
        <v>C</v>
      </c>
      <c r="K71" s="2" t="s">
        <v>117</v>
      </c>
      <c r="L71" s="2" t="s">
        <v>87</v>
      </c>
      <c r="M71" s="3" t="s">
        <v>19</v>
      </c>
      <c r="N71" s="8" t="s">
        <v>20</v>
      </c>
    </row>
    <row r="72" spans="1:14" ht="25.5">
      <c r="A72" s="7">
        <f t="shared" si="6"/>
        <v>67</v>
      </c>
      <c r="B72" s="1" t="s">
        <v>118</v>
      </c>
      <c r="C72" s="2">
        <v>2</v>
      </c>
      <c r="D72" s="2">
        <v>2</v>
      </c>
      <c r="E72" s="2">
        <v>2</v>
      </c>
      <c r="F72" s="2">
        <v>3</v>
      </c>
      <c r="G72" s="2">
        <v>14</v>
      </c>
      <c r="H72" s="2">
        <v>2</v>
      </c>
      <c r="I72" s="2">
        <f t="shared" si="7"/>
        <v>25</v>
      </c>
      <c r="J72" s="2" t="str">
        <f t="shared" si="8"/>
        <v>C</v>
      </c>
      <c r="K72" s="2" t="s">
        <v>97</v>
      </c>
      <c r="L72" s="2" t="s">
        <v>87</v>
      </c>
      <c r="M72" s="3" t="s">
        <v>19</v>
      </c>
      <c r="N72" s="8" t="s">
        <v>30</v>
      </c>
    </row>
    <row r="73" spans="1:14" ht="25.5">
      <c r="A73" s="7">
        <f t="shared" si="6"/>
        <v>67</v>
      </c>
      <c r="B73" s="1" t="s">
        <v>119</v>
      </c>
      <c r="C73" s="2">
        <v>3</v>
      </c>
      <c r="D73" s="2">
        <v>3</v>
      </c>
      <c r="E73" s="2">
        <v>2</v>
      </c>
      <c r="F73" s="2">
        <v>4</v>
      </c>
      <c r="G73" s="2">
        <v>5</v>
      </c>
      <c r="H73" s="2">
        <v>8</v>
      </c>
      <c r="I73" s="2">
        <f t="shared" si="7"/>
        <v>25</v>
      </c>
      <c r="J73" s="2" t="str">
        <f t="shared" si="8"/>
        <v>C</v>
      </c>
      <c r="K73" s="2" t="s">
        <v>76</v>
      </c>
      <c r="L73" s="2" t="s">
        <v>87</v>
      </c>
      <c r="M73" s="3" t="s">
        <v>120</v>
      </c>
      <c r="N73" s="8" t="s">
        <v>20</v>
      </c>
    </row>
    <row r="74" spans="1:14" ht="25.5">
      <c r="A74" s="7">
        <f t="shared" si="6"/>
        <v>67</v>
      </c>
      <c r="B74" s="1" t="s">
        <v>121</v>
      </c>
      <c r="C74" s="2">
        <v>3</v>
      </c>
      <c r="D74" s="2">
        <v>3</v>
      </c>
      <c r="E74" s="2">
        <v>3</v>
      </c>
      <c r="F74" s="2">
        <v>3</v>
      </c>
      <c r="G74" s="2">
        <v>6</v>
      </c>
      <c r="H74" s="2">
        <v>7</v>
      </c>
      <c r="I74" s="2">
        <f t="shared" si="7"/>
        <v>25</v>
      </c>
      <c r="J74" s="2" t="str">
        <f t="shared" si="8"/>
        <v>C</v>
      </c>
      <c r="K74" s="2" t="s">
        <v>17</v>
      </c>
      <c r="L74" s="2" t="s">
        <v>87</v>
      </c>
      <c r="M74" s="3" t="s">
        <v>19</v>
      </c>
      <c r="N74" s="8" t="s">
        <v>20</v>
      </c>
    </row>
    <row r="75" spans="1:14" ht="25.5">
      <c r="A75" s="7">
        <f t="shared" si="6"/>
        <v>71</v>
      </c>
      <c r="B75" s="1" t="s">
        <v>122</v>
      </c>
      <c r="C75" s="2">
        <v>4</v>
      </c>
      <c r="D75" s="2">
        <v>4</v>
      </c>
      <c r="E75" s="2">
        <v>4</v>
      </c>
      <c r="F75" s="2">
        <v>3</v>
      </c>
      <c r="G75" s="2">
        <v>7</v>
      </c>
      <c r="H75" s="2">
        <v>2</v>
      </c>
      <c r="I75" s="2">
        <f t="shared" si="7"/>
        <v>24</v>
      </c>
      <c r="J75" s="2" t="str">
        <f t="shared" si="8"/>
        <v>C</v>
      </c>
      <c r="K75" s="2" t="s">
        <v>17</v>
      </c>
      <c r="L75" s="2" t="s">
        <v>123</v>
      </c>
      <c r="M75" s="3" t="s">
        <v>19</v>
      </c>
      <c r="N75" s="8" t="s">
        <v>20</v>
      </c>
    </row>
    <row r="76" spans="1:14" ht="25.5">
      <c r="A76" s="7">
        <f t="shared" si="6"/>
        <v>71</v>
      </c>
      <c r="B76" s="1" t="s">
        <v>124</v>
      </c>
      <c r="C76" s="2">
        <v>3</v>
      </c>
      <c r="D76" s="2">
        <v>3</v>
      </c>
      <c r="E76" s="2">
        <v>3</v>
      </c>
      <c r="F76" s="2">
        <v>3</v>
      </c>
      <c r="G76" s="2">
        <v>5</v>
      </c>
      <c r="H76" s="2">
        <v>7</v>
      </c>
      <c r="I76" s="2">
        <f t="shared" si="7"/>
        <v>24</v>
      </c>
      <c r="J76" s="2" t="str">
        <f t="shared" si="8"/>
        <v>C</v>
      </c>
      <c r="K76" s="2" t="s">
        <v>17</v>
      </c>
      <c r="L76" s="2" t="s">
        <v>123</v>
      </c>
      <c r="M76" s="3" t="s">
        <v>19</v>
      </c>
      <c r="N76" s="8" t="s">
        <v>20</v>
      </c>
    </row>
    <row r="77" spans="1:14" ht="25.5">
      <c r="A77" s="7">
        <f t="shared" si="6"/>
        <v>73</v>
      </c>
      <c r="B77" s="1" t="s">
        <v>125</v>
      </c>
      <c r="C77" s="2">
        <v>3</v>
      </c>
      <c r="D77" s="2">
        <v>3</v>
      </c>
      <c r="E77" s="2">
        <v>4</v>
      </c>
      <c r="F77" s="2">
        <v>3</v>
      </c>
      <c r="G77" s="2">
        <v>5</v>
      </c>
      <c r="H77" s="2">
        <v>5</v>
      </c>
      <c r="I77" s="2">
        <f t="shared" si="7"/>
        <v>23</v>
      </c>
      <c r="J77" s="2" t="str">
        <f t="shared" si="8"/>
        <v>C</v>
      </c>
      <c r="K77" s="2" t="s">
        <v>17</v>
      </c>
      <c r="L77" s="2" t="s">
        <v>123</v>
      </c>
      <c r="M77" s="3" t="s">
        <v>19</v>
      </c>
      <c r="N77" s="8" t="s">
        <v>20</v>
      </c>
    </row>
    <row r="78" spans="1:14" ht="25.5">
      <c r="A78" s="7">
        <f t="shared" si="6"/>
        <v>73</v>
      </c>
      <c r="B78" s="1" t="s">
        <v>126</v>
      </c>
      <c r="C78" s="2">
        <v>3</v>
      </c>
      <c r="D78" s="2">
        <v>3</v>
      </c>
      <c r="E78" s="2">
        <v>3</v>
      </c>
      <c r="F78" s="2">
        <v>3</v>
      </c>
      <c r="G78" s="2">
        <v>5</v>
      </c>
      <c r="H78" s="2">
        <v>6</v>
      </c>
      <c r="I78" s="2">
        <f t="shared" si="7"/>
        <v>23</v>
      </c>
      <c r="J78" s="2" t="str">
        <f t="shared" si="8"/>
        <v>C</v>
      </c>
      <c r="K78" s="2" t="s">
        <v>17</v>
      </c>
      <c r="L78" s="2" t="s">
        <v>123</v>
      </c>
      <c r="M78" s="3" t="s">
        <v>77</v>
      </c>
      <c r="N78" s="8" t="s">
        <v>20</v>
      </c>
    </row>
    <row r="79" spans="1:14" ht="25.5">
      <c r="A79" s="7">
        <f t="shared" si="6"/>
        <v>73</v>
      </c>
      <c r="B79" s="1" t="s">
        <v>127</v>
      </c>
      <c r="C79" s="2">
        <v>3</v>
      </c>
      <c r="D79" s="2">
        <v>3</v>
      </c>
      <c r="E79" s="2">
        <v>5</v>
      </c>
      <c r="F79" s="2">
        <v>4</v>
      </c>
      <c r="G79" s="2">
        <v>5</v>
      </c>
      <c r="H79" s="2">
        <v>3</v>
      </c>
      <c r="I79" s="2">
        <f t="shared" si="7"/>
        <v>23</v>
      </c>
      <c r="J79" s="2" t="str">
        <f t="shared" si="8"/>
        <v>C</v>
      </c>
      <c r="K79" s="2" t="s">
        <v>17</v>
      </c>
      <c r="L79" s="2" t="s">
        <v>123</v>
      </c>
      <c r="M79" s="3" t="s">
        <v>19</v>
      </c>
      <c r="N79" s="8" t="s">
        <v>20</v>
      </c>
    </row>
    <row r="80" spans="1:14" ht="25.5">
      <c r="A80" s="7">
        <f t="shared" si="6"/>
        <v>73</v>
      </c>
      <c r="B80" s="1" t="s">
        <v>128</v>
      </c>
      <c r="C80" s="2">
        <v>2</v>
      </c>
      <c r="D80" s="2">
        <v>3</v>
      </c>
      <c r="E80" s="2">
        <v>3</v>
      </c>
      <c r="F80" s="2">
        <v>4</v>
      </c>
      <c r="G80" s="2">
        <v>5</v>
      </c>
      <c r="H80" s="2">
        <v>6</v>
      </c>
      <c r="I80" s="2">
        <f t="shared" si="7"/>
        <v>23</v>
      </c>
      <c r="J80" s="2" t="str">
        <f t="shared" si="8"/>
        <v>C</v>
      </c>
      <c r="K80" s="2" t="s">
        <v>17</v>
      </c>
      <c r="L80" s="2" t="s">
        <v>123</v>
      </c>
      <c r="M80" s="3" t="s">
        <v>19</v>
      </c>
      <c r="N80" s="8" t="s">
        <v>20</v>
      </c>
    </row>
    <row r="81" spans="1:14" ht="25.5">
      <c r="A81" s="7">
        <f t="shared" si="6"/>
        <v>77</v>
      </c>
      <c r="B81" s="1" t="s">
        <v>129</v>
      </c>
      <c r="C81" s="2">
        <v>3</v>
      </c>
      <c r="D81" s="2">
        <v>2</v>
      </c>
      <c r="E81" s="2">
        <v>2</v>
      </c>
      <c r="F81" s="2">
        <v>3</v>
      </c>
      <c r="G81" s="2">
        <v>5</v>
      </c>
      <c r="H81" s="2">
        <v>7</v>
      </c>
      <c r="I81" s="2">
        <f t="shared" si="7"/>
        <v>22</v>
      </c>
      <c r="J81" s="2" t="str">
        <f t="shared" si="8"/>
        <v>C</v>
      </c>
      <c r="K81" s="2" t="s">
        <v>76</v>
      </c>
      <c r="L81" s="2" t="s">
        <v>123</v>
      </c>
      <c r="M81" s="3" t="s">
        <v>19</v>
      </c>
      <c r="N81" s="8" t="s">
        <v>20</v>
      </c>
    </row>
    <row r="82" spans="1:14" ht="25.5">
      <c r="A82" s="7">
        <f t="shared" si="6"/>
        <v>77</v>
      </c>
      <c r="B82" s="1" t="s">
        <v>130</v>
      </c>
      <c r="C82" s="2">
        <v>3</v>
      </c>
      <c r="D82" s="2">
        <v>3</v>
      </c>
      <c r="E82" s="2">
        <v>3</v>
      </c>
      <c r="F82" s="2">
        <v>3</v>
      </c>
      <c r="G82" s="2">
        <v>6</v>
      </c>
      <c r="H82" s="2">
        <v>4</v>
      </c>
      <c r="I82" s="2">
        <f t="shared" si="7"/>
        <v>22</v>
      </c>
      <c r="J82" s="2" t="str">
        <f t="shared" si="8"/>
        <v>C</v>
      </c>
      <c r="K82" s="2" t="s">
        <v>17</v>
      </c>
      <c r="L82" s="2" t="s">
        <v>123</v>
      </c>
      <c r="M82" s="3" t="s">
        <v>19</v>
      </c>
      <c r="N82" s="8" t="s">
        <v>20</v>
      </c>
    </row>
    <row r="83" spans="1:14" ht="38.25">
      <c r="A83" s="7">
        <f t="shared" si="6"/>
        <v>77</v>
      </c>
      <c r="B83" s="1" t="s">
        <v>131</v>
      </c>
      <c r="C83" s="2">
        <v>3</v>
      </c>
      <c r="D83" s="2">
        <v>3</v>
      </c>
      <c r="E83" s="2">
        <v>2</v>
      </c>
      <c r="F83" s="2">
        <v>3</v>
      </c>
      <c r="G83" s="2">
        <v>4</v>
      </c>
      <c r="H83" s="2">
        <v>7</v>
      </c>
      <c r="I83" s="2">
        <f t="shared" si="7"/>
        <v>22</v>
      </c>
      <c r="J83" s="2" t="str">
        <f t="shared" si="8"/>
        <v>C</v>
      </c>
      <c r="K83" s="2" t="s">
        <v>132</v>
      </c>
      <c r="L83" s="2" t="s">
        <v>123</v>
      </c>
      <c r="M83" s="3" t="s">
        <v>133</v>
      </c>
      <c r="N83" s="8" t="s">
        <v>20</v>
      </c>
    </row>
    <row r="84" spans="1:14" ht="25.5">
      <c r="A84" s="7">
        <f t="shared" si="6"/>
        <v>80</v>
      </c>
      <c r="B84" s="1" t="s">
        <v>134</v>
      </c>
      <c r="C84" s="2">
        <v>2</v>
      </c>
      <c r="D84" s="2">
        <v>2</v>
      </c>
      <c r="E84" s="2">
        <v>2</v>
      </c>
      <c r="F84" s="2">
        <v>3</v>
      </c>
      <c r="G84" s="2">
        <v>5</v>
      </c>
      <c r="H84" s="2">
        <v>7</v>
      </c>
      <c r="I84" s="2">
        <f t="shared" si="7"/>
        <v>21</v>
      </c>
      <c r="J84" s="2" t="str">
        <f t="shared" si="8"/>
        <v>C</v>
      </c>
      <c r="K84" s="2" t="s">
        <v>76</v>
      </c>
      <c r="L84" s="2" t="s">
        <v>123</v>
      </c>
      <c r="M84" s="3" t="s">
        <v>77</v>
      </c>
      <c r="N84" s="8" t="s">
        <v>20</v>
      </c>
    </row>
    <row r="85" spans="1:14" ht="25.5">
      <c r="A85" s="7">
        <f t="shared" si="6"/>
        <v>81</v>
      </c>
      <c r="B85" s="1" t="s">
        <v>135</v>
      </c>
      <c r="C85" s="2">
        <v>2</v>
      </c>
      <c r="D85" s="2">
        <v>3</v>
      </c>
      <c r="E85" s="2">
        <v>3</v>
      </c>
      <c r="F85" s="2">
        <v>3</v>
      </c>
      <c r="G85" s="2">
        <v>5</v>
      </c>
      <c r="H85" s="2">
        <v>4</v>
      </c>
      <c r="I85" s="2">
        <f t="shared" si="7"/>
        <v>20</v>
      </c>
      <c r="J85" s="2" t="str">
        <f t="shared" si="8"/>
        <v>C</v>
      </c>
      <c r="K85" s="2" t="s">
        <v>136</v>
      </c>
      <c r="L85" s="2" t="s">
        <v>123</v>
      </c>
      <c r="M85" s="3" t="s">
        <v>19</v>
      </c>
      <c r="N85" s="8" t="s">
        <v>20</v>
      </c>
    </row>
    <row r="86" spans="1:14" ht="25.5">
      <c r="A86" s="7">
        <f t="shared" si="6"/>
        <v>81</v>
      </c>
      <c r="B86" s="1" t="s">
        <v>137</v>
      </c>
      <c r="C86" s="2">
        <v>2</v>
      </c>
      <c r="D86" s="2">
        <v>2</v>
      </c>
      <c r="E86" s="2">
        <v>2</v>
      </c>
      <c r="F86" s="2">
        <v>3</v>
      </c>
      <c r="G86" s="2">
        <v>4</v>
      </c>
      <c r="H86" s="2">
        <v>7</v>
      </c>
      <c r="I86" s="2">
        <f t="shared" si="7"/>
        <v>20</v>
      </c>
      <c r="J86" s="2" t="str">
        <f t="shared" si="8"/>
        <v>C</v>
      </c>
      <c r="K86" s="2" t="s">
        <v>138</v>
      </c>
      <c r="L86" s="2" t="s">
        <v>123</v>
      </c>
      <c r="M86" s="3" t="s">
        <v>19</v>
      </c>
      <c r="N86" s="8" t="s">
        <v>20</v>
      </c>
    </row>
    <row r="87" spans="1:14" ht="25.5">
      <c r="A87" s="7">
        <f t="shared" si="6"/>
        <v>81</v>
      </c>
      <c r="B87" s="1" t="s">
        <v>139</v>
      </c>
      <c r="C87" s="2">
        <v>2</v>
      </c>
      <c r="D87" s="2">
        <v>3</v>
      </c>
      <c r="E87" s="2">
        <v>3</v>
      </c>
      <c r="F87" s="2">
        <v>3</v>
      </c>
      <c r="G87" s="2">
        <v>5</v>
      </c>
      <c r="H87" s="2">
        <v>4</v>
      </c>
      <c r="I87" s="2">
        <f t="shared" si="7"/>
        <v>20</v>
      </c>
      <c r="J87" s="2" t="str">
        <f t="shared" si="8"/>
        <v>C</v>
      </c>
      <c r="K87" s="2" t="s">
        <v>17</v>
      </c>
      <c r="L87" s="2" t="s">
        <v>123</v>
      </c>
      <c r="M87" s="3" t="s">
        <v>19</v>
      </c>
      <c r="N87" s="8" t="s">
        <v>20</v>
      </c>
    </row>
    <row r="88" spans="1:14" ht="25.5">
      <c r="A88" s="7">
        <f t="shared" si="6"/>
        <v>84</v>
      </c>
      <c r="B88" s="1" t="s">
        <v>140</v>
      </c>
      <c r="C88" s="2">
        <v>2</v>
      </c>
      <c r="D88" s="2">
        <v>2</v>
      </c>
      <c r="E88" s="2">
        <v>3</v>
      </c>
      <c r="F88" s="2">
        <v>3</v>
      </c>
      <c r="G88" s="2">
        <v>4</v>
      </c>
      <c r="H88" s="2">
        <v>5</v>
      </c>
      <c r="I88" s="2">
        <f t="shared" si="7"/>
        <v>19</v>
      </c>
      <c r="J88" s="2" t="str">
        <f t="shared" si="8"/>
        <v>D+</v>
      </c>
      <c r="K88" s="2" t="s">
        <v>17</v>
      </c>
      <c r="L88" s="2" t="s">
        <v>123</v>
      </c>
      <c r="M88" s="3" t="s">
        <v>19</v>
      </c>
      <c r="N88" s="8" t="s">
        <v>20</v>
      </c>
    </row>
    <row r="89" spans="1:14" ht="25.5">
      <c r="A89" s="7">
        <f t="shared" si="6"/>
        <v>85</v>
      </c>
      <c r="B89" s="1" t="s">
        <v>141</v>
      </c>
      <c r="C89" s="2">
        <v>2</v>
      </c>
      <c r="D89" s="2">
        <v>2</v>
      </c>
      <c r="E89" s="2">
        <v>3</v>
      </c>
      <c r="F89" s="2">
        <v>2</v>
      </c>
      <c r="G89" s="2">
        <v>4</v>
      </c>
      <c r="H89" s="2">
        <v>5</v>
      </c>
      <c r="I89" s="2">
        <f t="shared" si="7"/>
        <v>18</v>
      </c>
      <c r="J89" s="2" t="str">
        <f t="shared" si="8"/>
        <v>D+</v>
      </c>
      <c r="K89" s="2" t="s">
        <v>17</v>
      </c>
      <c r="L89" s="2" t="s">
        <v>123</v>
      </c>
      <c r="M89" s="3" t="s">
        <v>19</v>
      </c>
      <c r="N89" s="8" t="s">
        <v>20</v>
      </c>
    </row>
    <row r="90" spans="1:14" ht="25.5">
      <c r="A90" s="9">
        <f t="shared" si="6"/>
        <v>86</v>
      </c>
      <c r="B90" s="10" t="s">
        <v>142</v>
      </c>
      <c r="C90" s="11">
        <v>2</v>
      </c>
      <c r="D90" s="11">
        <v>2</v>
      </c>
      <c r="E90" s="11">
        <v>1</v>
      </c>
      <c r="F90" s="11">
        <v>2</v>
      </c>
      <c r="G90" s="11">
        <v>4</v>
      </c>
      <c r="H90" s="11">
        <v>6</v>
      </c>
      <c r="I90" s="11">
        <f t="shared" si="7"/>
        <v>17</v>
      </c>
      <c r="J90" s="11" t="str">
        <f t="shared" si="8"/>
        <v>D+</v>
      </c>
      <c r="K90" s="11" t="s">
        <v>76</v>
      </c>
      <c r="L90" s="11" t="s">
        <v>123</v>
      </c>
      <c r="M90" s="12" t="s">
        <v>19</v>
      </c>
      <c r="N90" s="13" t="s">
        <v>20</v>
      </c>
    </row>
  </sheetData>
  <mergeCells count="2">
    <mergeCell ref="A1:N1"/>
    <mergeCell ref="A2:N2"/>
  </mergeCells>
  <phoneticPr fontId="7" type="noConversion"/>
  <conditionalFormatting sqref="C5:C90">
    <cfRule type="dataBar" priority="1">
      <dataBar>
        <cfvo type="min"/>
        <cfvo type="max"/>
        <color rgb="FF2563EB"/>
      </dataBar>
    </cfRule>
  </conditionalFormatting>
  <conditionalFormatting sqref="D5:D90">
    <cfRule type="dataBar" priority="2">
      <dataBar>
        <cfvo type="min"/>
        <cfvo type="max"/>
        <color rgb="FF2563EB"/>
      </dataBar>
    </cfRule>
  </conditionalFormatting>
  <conditionalFormatting sqref="E5:E90">
    <cfRule type="dataBar" priority="3">
      <dataBar>
        <cfvo type="min"/>
        <cfvo type="max"/>
        <color rgb="FF2563EB"/>
      </dataBar>
    </cfRule>
  </conditionalFormatting>
  <conditionalFormatting sqref="F5:F90">
    <cfRule type="dataBar" priority="4">
      <dataBar>
        <cfvo type="min"/>
        <cfvo type="max"/>
        <color rgb="FF2563EB"/>
      </dataBar>
    </cfRule>
  </conditionalFormatting>
  <conditionalFormatting sqref="G5:G90">
    <cfRule type="dataBar" priority="5">
      <dataBar>
        <cfvo type="min"/>
        <cfvo type="max"/>
        <color rgb="FF2563EB"/>
      </dataBar>
    </cfRule>
  </conditionalFormatting>
  <conditionalFormatting sqref="H5:H90">
    <cfRule type="dataBar" priority="6">
      <dataBar>
        <cfvo type="min"/>
        <cfvo type="max"/>
        <color rgb="FF2563EB"/>
      </dataBar>
    </cfRule>
  </conditionalFormatting>
  <conditionalFormatting sqref="I5:I90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5:J90">
    <cfRule type="expression" dxfId="9" priority="8">
      <formula>J5="S+"</formula>
    </cfRule>
    <cfRule type="expression" dxfId="8" priority="9">
      <formula>J5="S"</formula>
    </cfRule>
    <cfRule type="expression" dxfId="7" priority="10">
      <formula>J5="A+"</formula>
    </cfRule>
    <cfRule type="expression" dxfId="6" priority="11">
      <formula>J5="A"</formula>
    </cfRule>
    <cfRule type="expression" dxfId="5" priority="12">
      <formula>J5="B+"</formula>
    </cfRule>
    <cfRule type="expression" dxfId="4" priority="13">
      <formula>J5="B"</formula>
    </cfRule>
    <cfRule type="expression" dxfId="3" priority="14">
      <formula>J5="C+"</formula>
    </cfRule>
    <cfRule type="expression" dxfId="2" priority="15">
      <formula>J5="C"</formula>
    </cfRule>
    <cfRule type="expression" dxfId="1" priority="16">
      <formula>J5="D+"</formula>
    </cfRule>
    <cfRule type="expression" dxfId="0" priority="17">
      <formula>J5="D"</formula>
    </cfRule>
  </conditionalFormatting>
  <conditionalFormatting sqref="C5:C90">
    <cfRule type="dataBar" priority="18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{4D3A62A1-D7FB-6F09-6D8B-89225587C69A}</x14:id>
        </ext>
      </extLst>
    </cfRule>
  </conditionalFormatting>
  <conditionalFormatting sqref="D5:D90">
    <cfRule type="dataBar" priority="19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{5D1E4541-2130-4E7A-3E05-78CB8C144316}</x14:id>
        </ext>
      </extLst>
    </cfRule>
  </conditionalFormatting>
  <conditionalFormatting sqref="E5:E90">
    <cfRule type="dataBar" priority="20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{E14553DE-345C-D60C-ACEE-FB41A5A57ACF}</x14:id>
        </ext>
      </extLst>
    </cfRule>
  </conditionalFormatting>
  <conditionalFormatting sqref="F5:F90">
    <cfRule type="dataBar" priority="2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{4626ABDA-A97A-612B-02CA-41D18EE3B185}</x14:id>
        </ext>
      </extLst>
    </cfRule>
  </conditionalFormatting>
  <conditionalFormatting sqref="G5:G90">
    <cfRule type="dataBar" priority="2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{C12C8FB7-0DE1-9CD1-EC27-3D3E0AA8F22D}</x14:id>
        </ext>
      </extLst>
    </cfRule>
  </conditionalFormatting>
  <conditionalFormatting sqref="H5:H90">
    <cfRule type="dataBar" priority="23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{B4E52EA3-5C64-4549-5A2B-A51A57D7E998}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3A62A1-D7FB-6F09-6D8B-89225587C69A}">
            <x14:dataBar>
              <x14:cfvo type="min"/>
              <x14:cfvo type="max"/>
              <x14:negativeFillColor auto="1"/>
              <x14:axisColor auto="1"/>
            </x14:dataBar>
          </x14:cfRule>
          <xm:sqref>C5:C90</xm:sqref>
        </x14:conditionalFormatting>
        <x14:conditionalFormatting xmlns:xm="http://schemas.microsoft.com/office/excel/2006/main">
          <x14:cfRule type="dataBar" id="{5D1E4541-2130-4E7A-3E05-78CB8C144316}">
            <x14:dataBar>
              <x14:cfvo type="min"/>
              <x14:cfvo type="max"/>
              <x14:negativeFillColor auto="1"/>
              <x14:axisColor auto="1"/>
            </x14:dataBar>
          </x14:cfRule>
          <xm:sqref>D5:D90</xm:sqref>
        </x14:conditionalFormatting>
        <x14:conditionalFormatting xmlns:xm="http://schemas.microsoft.com/office/excel/2006/main">
          <x14:cfRule type="dataBar" id="{E14553DE-345C-D60C-ACEE-FB41A5A57ACF}">
            <x14:dataBar>
              <x14:cfvo type="min"/>
              <x14:cfvo type="max"/>
              <x14:negativeFillColor auto="1"/>
              <x14:axisColor auto="1"/>
            </x14:dataBar>
          </x14:cfRule>
          <xm:sqref>E5:E90</xm:sqref>
        </x14:conditionalFormatting>
        <x14:conditionalFormatting xmlns:xm="http://schemas.microsoft.com/office/excel/2006/main">
          <x14:cfRule type="dataBar" id="{4626ABDA-A97A-612B-02CA-41D18EE3B185}">
            <x14:dataBar>
              <x14:cfvo type="min"/>
              <x14:cfvo type="max"/>
              <x14:negativeFillColor auto="1"/>
              <x14:axisColor auto="1"/>
            </x14:dataBar>
          </x14:cfRule>
          <xm:sqref>F5:F90</xm:sqref>
        </x14:conditionalFormatting>
        <x14:conditionalFormatting xmlns:xm="http://schemas.microsoft.com/office/excel/2006/main">
          <x14:cfRule type="dataBar" id="{C12C8FB7-0DE1-9CD1-EC27-3D3E0AA8F22D}">
            <x14:dataBar>
              <x14:cfvo type="min"/>
              <x14:cfvo type="max"/>
              <x14:negativeFillColor auto="1"/>
              <x14:axisColor auto="1"/>
            </x14:dataBar>
          </x14:cfRule>
          <xm:sqref>G5:G90</xm:sqref>
        </x14:conditionalFormatting>
        <x14:conditionalFormatting xmlns:xm="http://schemas.microsoft.com/office/excel/2006/main">
          <x14:cfRule type="dataBar" id="{B4E52EA3-5C64-4549-5A2B-A51A57D7E998}">
            <x14:dataBar>
              <x14:cfvo type="min"/>
              <x14:cfvo type="max"/>
              <x14:negativeFillColor auto="1"/>
              <x14:axisColor auto="1"/>
            </x14:dataBar>
          </x14:cfRule>
          <xm:sqref>H5:H90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"/>
  <sheetViews>
    <sheetView workbookViewId="0"/>
  </sheetViews>
  <sheetFormatPr defaultRowHeight="14.25"/>
  <cols>
    <col min="1" max="1" width="18" customWidth="1"/>
    <col min="2" max="2" width="24" customWidth="1"/>
    <col min="3" max="3" width="18" customWidth="1"/>
    <col min="5" max="6" width="18" customWidth="1"/>
  </cols>
  <sheetData>
    <row r="1" spans="1:12" ht="20.25">
      <c r="A1" s="40" t="s">
        <v>143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3" spans="1:12" ht="15">
      <c r="A3" s="15" t="s">
        <v>11</v>
      </c>
      <c r="B3" s="16" t="s">
        <v>144</v>
      </c>
      <c r="C3" s="16" t="s">
        <v>145</v>
      </c>
      <c r="D3" s="17"/>
      <c r="E3" s="16" t="s">
        <v>146</v>
      </c>
      <c r="F3" s="18" t="s">
        <v>147</v>
      </c>
    </row>
    <row r="4" spans="1:12">
      <c r="A4" s="19" t="s">
        <v>148</v>
      </c>
      <c r="B4" s="20" t="s">
        <v>149</v>
      </c>
      <c r="C4" s="20">
        <f>COUNTIF('전체 점수표'!$J$5:$J$90,A4)</f>
        <v>2</v>
      </c>
      <c r="D4" s="20"/>
      <c r="E4" s="20" t="s">
        <v>150</v>
      </c>
      <c r="F4" s="21">
        <f>AVERAGE('전체 점수표'!C5:C90)</f>
        <v>6.9883720930232558</v>
      </c>
    </row>
    <row r="5" spans="1:12">
      <c r="A5" s="22" t="s">
        <v>151</v>
      </c>
      <c r="B5" s="20" t="s">
        <v>152</v>
      </c>
      <c r="C5" s="20">
        <f>COUNTIF('전체 점수표'!$J$5:$J$90,A5)</f>
        <v>4</v>
      </c>
      <c r="D5" s="20"/>
      <c r="E5" s="20" t="s">
        <v>153</v>
      </c>
      <c r="F5" s="21">
        <f>AVERAGE('전체 점수표'!D5:D90)</f>
        <v>6.5232558139534884</v>
      </c>
    </row>
    <row r="6" spans="1:12">
      <c r="A6" s="23" t="s">
        <v>154</v>
      </c>
      <c r="B6" s="20" t="s">
        <v>155</v>
      </c>
      <c r="C6" s="20">
        <f>COUNTIF('전체 점수표'!$J$5:$J$90,A6)</f>
        <v>8</v>
      </c>
      <c r="D6" s="20"/>
      <c r="E6" s="20" t="s">
        <v>156</v>
      </c>
      <c r="F6" s="21">
        <f>AVERAGE('전체 점수표'!E5:E90)</f>
        <v>7.1511627906976747</v>
      </c>
    </row>
    <row r="7" spans="1:12">
      <c r="A7" s="24" t="s">
        <v>157</v>
      </c>
      <c r="B7" s="20" t="s">
        <v>158</v>
      </c>
      <c r="C7" s="20">
        <f>COUNTIF('전체 점수표'!$J$5:$J$90,A7)</f>
        <v>8</v>
      </c>
      <c r="D7" s="20"/>
      <c r="E7" s="20" t="s">
        <v>159</v>
      </c>
      <c r="F7" s="21">
        <f>AVERAGE('전체 점수표'!F5:F90)</f>
        <v>6.8604651162790695</v>
      </c>
    </row>
    <row r="8" spans="1:12">
      <c r="A8" s="25" t="s">
        <v>160</v>
      </c>
      <c r="B8" s="20" t="s">
        <v>161</v>
      </c>
      <c r="C8" s="20">
        <f>COUNTIF('전체 점수표'!$J$5:$J$90,A8)</f>
        <v>9</v>
      </c>
      <c r="D8" s="20"/>
      <c r="E8" s="20" t="s">
        <v>162</v>
      </c>
      <c r="F8" s="21">
        <f>AVERAGE('전체 점수표'!G5:G90)</f>
        <v>9.395348837209303</v>
      </c>
    </row>
    <row r="9" spans="1:12">
      <c r="A9" s="26" t="s">
        <v>163</v>
      </c>
      <c r="B9" s="20" t="s">
        <v>164</v>
      </c>
      <c r="C9" s="20">
        <f>COUNTIF('전체 점수표'!$J$5:$J$90,A9)</f>
        <v>12</v>
      </c>
      <c r="D9" s="20"/>
      <c r="E9" s="20" t="s">
        <v>165</v>
      </c>
      <c r="F9" s="21">
        <f>AVERAGE('전체 점수표'!H5:H90)</f>
        <v>7.6744186046511631</v>
      </c>
    </row>
    <row r="10" spans="1:12">
      <c r="A10" s="27" t="s">
        <v>166</v>
      </c>
      <c r="B10" s="20" t="s">
        <v>167</v>
      </c>
      <c r="C10" s="20">
        <f>COUNTIF('전체 점수표'!$J$5:$J$90,A10)</f>
        <v>14</v>
      </c>
      <c r="D10" s="20"/>
      <c r="E10" s="20" t="s">
        <v>10</v>
      </c>
      <c r="F10" s="21">
        <f>AVERAGE('전체 점수표'!I5:I90)</f>
        <v>44.593023255813954</v>
      </c>
    </row>
    <row r="11" spans="1:12">
      <c r="A11" s="28" t="s">
        <v>168</v>
      </c>
      <c r="B11" s="20" t="s">
        <v>169</v>
      </c>
      <c r="C11" s="20">
        <f>COUNTIF('전체 점수표'!$J$5:$J$90,A11)</f>
        <v>26</v>
      </c>
      <c r="D11" s="20"/>
      <c r="E11" s="20"/>
      <c r="F11" s="29"/>
    </row>
    <row r="12" spans="1:12">
      <c r="A12" s="30" t="s">
        <v>170</v>
      </c>
      <c r="B12" s="20" t="s">
        <v>171</v>
      </c>
      <c r="C12" s="20">
        <f>COUNTIF('전체 점수표'!$J$5:$J$90,A12)</f>
        <v>3</v>
      </c>
      <c r="D12" s="20"/>
      <c r="E12" s="20"/>
      <c r="F12" s="29"/>
    </row>
    <row r="13" spans="1:12">
      <c r="A13" s="31" t="s">
        <v>172</v>
      </c>
      <c r="B13" s="20" t="s">
        <v>173</v>
      </c>
      <c r="C13" s="20">
        <f>COUNTIF('전체 점수표'!$J$5:$J$90,A13)</f>
        <v>0</v>
      </c>
      <c r="D13" s="20"/>
      <c r="E13" s="20"/>
      <c r="F13" s="29"/>
    </row>
    <row r="14" spans="1:12">
      <c r="A14" s="32"/>
      <c r="B14" s="20"/>
      <c r="C14" s="20"/>
      <c r="D14" s="20"/>
      <c r="E14" s="20"/>
      <c r="F14" s="29"/>
    </row>
    <row r="15" spans="1:12">
      <c r="A15" s="32"/>
      <c r="B15" s="20"/>
      <c r="C15" s="20"/>
      <c r="D15" s="20"/>
      <c r="E15" s="20"/>
      <c r="F15" s="29"/>
    </row>
    <row r="16" spans="1:12" ht="15">
      <c r="A16" s="33" t="s">
        <v>2</v>
      </c>
      <c r="B16" s="14" t="s">
        <v>3</v>
      </c>
      <c r="C16" s="14" t="s">
        <v>10</v>
      </c>
      <c r="D16" s="20"/>
      <c r="E16" s="20"/>
      <c r="F16" s="29"/>
    </row>
    <row r="17" spans="1:6">
      <c r="A17" s="32">
        <v>1</v>
      </c>
      <c r="B17" s="20" t="s">
        <v>16</v>
      </c>
      <c r="C17" s="20">
        <v>97</v>
      </c>
      <c r="D17" s="20"/>
      <c r="E17" s="20"/>
      <c r="F17" s="29"/>
    </row>
    <row r="18" spans="1:6">
      <c r="A18" s="32">
        <v>2</v>
      </c>
      <c r="B18" s="20" t="s">
        <v>21</v>
      </c>
      <c r="C18" s="20">
        <v>91</v>
      </c>
      <c r="D18" s="20"/>
      <c r="E18" s="20"/>
      <c r="F18" s="29"/>
    </row>
    <row r="19" spans="1:6">
      <c r="A19" s="32">
        <v>3</v>
      </c>
      <c r="B19" s="20" t="s">
        <v>22</v>
      </c>
      <c r="C19" s="20">
        <v>88</v>
      </c>
      <c r="D19" s="20"/>
      <c r="E19" s="20"/>
      <c r="F19" s="29"/>
    </row>
    <row r="20" spans="1:6">
      <c r="A20" s="32">
        <v>4</v>
      </c>
      <c r="B20" s="20" t="s">
        <v>23</v>
      </c>
      <c r="C20" s="20">
        <v>87</v>
      </c>
      <c r="D20" s="20"/>
      <c r="E20" s="20"/>
      <c r="F20" s="29"/>
    </row>
    <row r="21" spans="1:6">
      <c r="A21" s="32">
        <v>5</v>
      </c>
      <c r="B21" s="20" t="s">
        <v>24</v>
      </c>
      <c r="C21" s="20">
        <v>86</v>
      </c>
      <c r="D21" s="20"/>
      <c r="E21" s="20"/>
      <c r="F21" s="29"/>
    </row>
    <row r="22" spans="1:6">
      <c r="A22" s="32">
        <v>6</v>
      </c>
      <c r="B22" s="20" t="s">
        <v>25</v>
      </c>
      <c r="C22" s="20">
        <v>84</v>
      </c>
      <c r="D22" s="20"/>
      <c r="E22" s="20"/>
      <c r="F22" s="29"/>
    </row>
    <row r="23" spans="1:6">
      <c r="A23" s="32">
        <v>7</v>
      </c>
      <c r="B23" s="20" t="s">
        <v>26</v>
      </c>
      <c r="C23" s="20">
        <v>79</v>
      </c>
      <c r="D23" s="20"/>
      <c r="E23" s="20"/>
      <c r="F23" s="29"/>
    </row>
    <row r="24" spans="1:6">
      <c r="A24" s="32">
        <v>8</v>
      </c>
      <c r="B24" s="20" t="s">
        <v>27</v>
      </c>
      <c r="C24" s="20">
        <v>78</v>
      </c>
      <c r="D24" s="20"/>
      <c r="E24" s="20"/>
      <c r="F24" s="29"/>
    </row>
    <row r="25" spans="1:6">
      <c r="A25" s="32">
        <v>9</v>
      </c>
      <c r="B25" s="20" t="s">
        <v>31</v>
      </c>
      <c r="C25" s="20">
        <v>76</v>
      </c>
      <c r="D25" s="20"/>
      <c r="E25" s="20"/>
      <c r="F25" s="29"/>
    </row>
    <row r="26" spans="1:6">
      <c r="A26" s="32">
        <v>10</v>
      </c>
      <c r="B26" s="20" t="s">
        <v>32</v>
      </c>
      <c r="C26" s="20">
        <v>74</v>
      </c>
      <c r="D26" s="20"/>
      <c r="E26" s="20"/>
      <c r="F26" s="29"/>
    </row>
    <row r="27" spans="1:6">
      <c r="A27" s="32">
        <v>11</v>
      </c>
      <c r="B27" s="20" t="s">
        <v>33</v>
      </c>
      <c r="C27" s="20">
        <v>74</v>
      </c>
      <c r="D27" s="20"/>
      <c r="E27" s="20"/>
      <c r="F27" s="29"/>
    </row>
    <row r="28" spans="1:6">
      <c r="A28" s="32">
        <v>12</v>
      </c>
      <c r="B28" s="20" t="s">
        <v>36</v>
      </c>
      <c r="C28" s="20">
        <v>73</v>
      </c>
      <c r="D28" s="20"/>
      <c r="E28" s="20"/>
      <c r="F28" s="29"/>
    </row>
    <row r="29" spans="1:6">
      <c r="A29" s="32">
        <v>13</v>
      </c>
      <c r="B29" s="20" t="s">
        <v>37</v>
      </c>
      <c r="C29" s="20">
        <v>71</v>
      </c>
      <c r="D29" s="20"/>
      <c r="E29" s="20"/>
      <c r="F29" s="29"/>
    </row>
    <row r="30" spans="1:6">
      <c r="A30" s="32">
        <v>14</v>
      </c>
      <c r="B30" s="20" t="s">
        <v>38</v>
      </c>
      <c r="C30" s="20">
        <v>70</v>
      </c>
      <c r="D30" s="20"/>
      <c r="E30" s="20"/>
      <c r="F30" s="29"/>
    </row>
    <row r="31" spans="1:6">
      <c r="A31" s="32">
        <v>15</v>
      </c>
      <c r="B31" s="20" t="s">
        <v>40</v>
      </c>
      <c r="C31" s="20">
        <v>69</v>
      </c>
      <c r="D31" s="20"/>
      <c r="E31" s="20"/>
      <c r="F31" s="29"/>
    </row>
    <row r="32" spans="1:6">
      <c r="A32" s="32">
        <v>16</v>
      </c>
      <c r="B32" s="20" t="s">
        <v>42</v>
      </c>
      <c r="C32" s="20">
        <v>68</v>
      </c>
      <c r="D32" s="20"/>
      <c r="E32" s="20"/>
      <c r="F32" s="29"/>
    </row>
    <row r="33" spans="1:6">
      <c r="A33" s="32">
        <v>17</v>
      </c>
      <c r="B33" s="20" t="s">
        <v>43</v>
      </c>
      <c r="C33" s="20">
        <v>68</v>
      </c>
      <c r="D33" s="20"/>
      <c r="E33" s="20"/>
      <c r="F33" s="29"/>
    </row>
    <row r="34" spans="1:6">
      <c r="A34" s="32">
        <v>18</v>
      </c>
      <c r="B34" s="20" t="s">
        <v>46</v>
      </c>
      <c r="C34" s="20">
        <v>65</v>
      </c>
      <c r="D34" s="20"/>
      <c r="E34" s="20"/>
      <c r="F34" s="29"/>
    </row>
    <row r="35" spans="1:6">
      <c r="A35" s="32">
        <v>19</v>
      </c>
      <c r="B35" s="20" t="s">
        <v>47</v>
      </c>
      <c r="C35" s="20">
        <v>64</v>
      </c>
      <c r="D35" s="20"/>
      <c r="E35" s="20"/>
      <c r="F35" s="29"/>
    </row>
    <row r="36" spans="1:6">
      <c r="A36" s="34">
        <v>20</v>
      </c>
      <c r="B36" s="35" t="s">
        <v>48</v>
      </c>
      <c r="C36" s="35">
        <v>63</v>
      </c>
      <c r="D36" s="35"/>
      <c r="E36" s="35"/>
      <c r="F36" s="36"/>
    </row>
  </sheetData>
  <mergeCells count="1">
    <mergeCell ref="A1:L1"/>
  </mergeCells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4.25"/>
  <cols>
    <col min="1" max="1" width="24" customWidth="1"/>
    <col min="2" max="2" width="12" customWidth="1"/>
    <col min="3" max="3" width="50" customWidth="1"/>
    <col min="4" max="4" width="48" customWidth="1"/>
  </cols>
  <sheetData>
    <row r="1" spans="1:4" ht="15.75">
      <c r="A1" s="41" t="s">
        <v>174</v>
      </c>
      <c r="B1" s="42"/>
      <c r="C1" s="42"/>
      <c r="D1" s="42"/>
    </row>
    <row r="3" spans="1:4" ht="15">
      <c r="A3" s="15" t="s">
        <v>146</v>
      </c>
      <c r="B3" s="16" t="s">
        <v>175</v>
      </c>
      <c r="C3" s="16" t="s">
        <v>176</v>
      </c>
      <c r="D3" s="18" t="s">
        <v>177</v>
      </c>
    </row>
    <row r="4" spans="1:4">
      <c r="A4" s="32" t="s">
        <v>150</v>
      </c>
      <c r="B4" s="20">
        <v>20</v>
      </c>
      <c r="C4" s="20" t="s">
        <v>178</v>
      </c>
      <c r="D4" s="29" t="s">
        <v>179</v>
      </c>
    </row>
    <row r="5" spans="1:4">
      <c r="A5" s="32" t="s">
        <v>153</v>
      </c>
      <c r="B5" s="20">
        <v>20</v>
      </c>
      <c r="C5" s="20" t="s">
        <v>180</v>
      </c>
      <c r="D5" s="29" t="s">
        <v>181</v>
      </c>
    </row>
    <row r="6" spans="1:4">
      <c r="A6" s="32" t="s">
        <v>156</v>
      </c>
      <c r="B6" s="20">
        <v>20</v>
      </c>
      <c r="C6" s="20" t="s">
        <v>182</v>
      </c>
      <c r="D6" s="29" t="s">
        <v>183</v>
      </c>
    </row>
    <row r="7" spans="1:4">
      <c r="A7" s="32" t="s">
        <v>159</v>
      </c>
      <c r="B7" s="20">
        <v>15</v>
      </c>
      <c r="C7" s="20" t="s">
        <v>184</v>
      </c>
      <c r="D7" s="29" t="s">
        <v>185</v>
      </c>
    </row>
    <row r="8" spans="1:4">
      <c r="A8" s="32" t="s">
        <v>162</v>
      </c>
      <c r="B8" s="20">
        <v>15</v>
      </c>
      <c r="C8" s="20" t="s">
        <v>186</v>
      </c>
      <c r="D8" s="29" t="s">
        <v>187</v>
      </c>
    </row>
    <row r="9" spans="1:4">
      <c r="A9" s="32" t="s">
        <v>165</v>
      </c>
      <c r="B9" s="20">
        <v>10</v>
      </c>
      <c r="C9" s="20" t="s">
        <v>188</v>
      </c>
      <c r="D9" s="29" t="s">
        <v>189</v>
      </c>
    </row>
    <row r="10" spans="1:4">
      <c r="A10" s="32"/>
      <c r="B10" s="20"/>
      <c r="C10" s="20"/>
      <c r="D10" s="29"/>
    </row>
    <row r="11" spans="1:4">
      <c r="A11" s="32"/>
      <c r="B11" s="20"/>
      <c r="C11" s="20"/>
      <c r="D11" s="29"/>
    </row>
    <row r="12" spans="1:4" ht="15">
      <c r="A12" s="33" t="s">
        <v>11</v>
      </c>
      <c r="B12" s="14" t="s">
        <v>10</v>
      </c>
      <c r="C12" s="14" t="s">
        <v>177</v>
      </c>
      <c r="D12" s="29"/>
    </row>
    <row r="13" spans="1:4">
      <c r="A13" s="32" t="s">
        <v>148</v>
      </c>
      <c r="B13" s="20" t="s">
        <v>149</v>
      </c>
      <c r="C13" s="20" t="s">
        <v>190</v>
      </c>
      <c r="D13" s="29"/>
    </row>
    <row r="14" spans="1:4">
      <c r="A14" s="32" t="s">
        <v>151</v>
      </c>
      <c r="B14" s="20" t="s">
        <v>152</v>
      </c>
      <c r="C14" s="20" t="s">
        <v>191</v>
      </c>
      <c r="D14" s="29"/>
    </row>
    <row r="15" spans="1:4">
      <c r="A15" s="32" t="s">
        <v>154</v>
      </c>
      <c r="B15" s="20" t="s">
        <v>155</v>
      </c>
      <c r="C15" s="20" t="s">
        <v>192</v>
      </c>
      <c r="D15" s="29"/>
    </row>
    <row r="16" spans="1:4">
      <c r="A16" s="32" t="s">
        <v>157</v>
      </c>
      <c r="B16" s="20" t="s">
        <v>158</v>
      </c>
      <c r="C16" s="20" t="s">
        <v>193</v>
      </c>
      <c r="D16" s="29"/>
    </row>
    <row r="17" spans="1:4">
      <c r="A17" s="32" t="s">
        <v>160</v>
      </c>
      <c r="B17" s="20" t="s">
        <v>161</v>
      </c>
      <c r="C17" s="20" t="s">
        <v>194</v>
      </c>
      <c r="D17" s="29"/>
    </row>
    <row r="18" spans="1:4">
      <c r="A18" s="32" t="s">
        <v>163</v>
      </c>
      <c r="B18" s="20" t="s">
        <v>164</v>
      </c>
      <c r="C18" s="20" t="s">
        <v>195</v>
      </c>
      <c r="D18" s="29"/>
    </row>
    <row r="19" spans="1:4">
      <c r="A19" s="32" t="s">
        <v>166</v>
      </c>
      <c r="B19" s="20" t="s">
        <v>167</v>
      </c>
      <c r="C19" s="20" t="s">
        <v>196</v>
      </c>
      <c r="D19" s="29"/>
    </row>
    <row r="20" spans="1:4">
      <c r="A20" s="32" t="s">
        <v>168</v>
      </c>
      <c r="B20" s="20" t="s">
        <v>169</v>
      </c>
      <c r="C20" s="20" t="s">
        <v>197</v>
      </c>
      <c r="D20" s="29"/>
    </row>
    <row r="21" spans="1:4">
      <c r="A21" s="32" t="s">
        <v>170</v>
      </c>
      <c r="B21" s="20" t="s">
        <v>171</v>
      </c>
      <c r="C21" s="20" t="s">
        <v>198</v>
      </c>
      <c r="D21" s="29"/>
    </row>
    <row r="22" spans="1:4">
      <c r="A22" s="32" t="s">
        <v>172</v>
      </c>
      <c r="B22" s="20" t="s">
        <v>173</v>
      </c>
      <c r="C22" s="20" t="s">
        <v>199</v>
      </c>
      <c r="D22" s="29"/>
    </row>
    <row r="23" spans="1:4">
      <c r="A23" s="32"/>
      <c r="B23" s="20"/>
      <c r="C23" s="20"/>
      <c r="D23" s="29"/>
    </row>
    <row r="24" spans="1:4">
      <c r="A24" s="32"/>
      <c r="B24" s="20"/>
      <c r="C24" s="20"/>
      <c r="D24" s="29"/>
    </row>
    <row r="25" spans="1:4" ht="42" customHeight="1">
      <c r="A25" s="43" t="s">
        <v>200</v>
      </c>
      <c r="B25" s="44"/>
      <c r="C25" s="44"/>
      <c r="D25" s="45"/>
    </row>
  </sheetData>
  <mergeCells count="2">
    <mergeCell ref="A1:D1"/>
    <mergeCell ref="A25:D25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25"/>
  <cols>
    <col min="1" max="1" width="18" customWidth="1"/>
    <col min="2" max="2" width="34" customWidth="1"/>
    <col min="3" max="3" width="58" customWidth="1"/>
    <col min="4" max="4" width="42" customWidth="1"/>
  </cols>
  <sheetData>
    <row r="1" spans="1:4" ht="15.75">
      <c r="A1" s="41" t="s">
        <v>201</v>
      </c>
      <c r="B1" s="42"/>
      <c r="C1" s="42"/>
      <c r="D1" s="42"/>
    </row>
    <row r="3" spans="1:4" ht="15">
      <c r="A3" s="15" t="s">
        <v>202</v>
      </c>
      <c r="B3" s="16" t="s">
        <v>203</v>
      </c>
      <c r="C3" s="16" t="s">
        <v>204</v>
      </c>
      <c r="D3" s="18" t="s">
        <v>205</v>
      </c>
    </row>
    <row r="4" spans="1:4">
      <c r="A4" s="32" t="s">
        <v>206</v>
      </c>
      <c r="B4" s="20" t="s">
        <v>207</v>
      </c>
      <c r="C4" s="20" t="s">
        <v>19</v>
      </c>
      <c r="D4" s="29" t="s">
        <v>208</v>
      </c>
    </row>
    <row r="5" spans="1:4">
      <c r="A5" s="32" t="s">
        <v>209</v>
      </c>
      <c r="B5" s="20" t="s">
        <v>210</v>
      </c>
      <c r="C5" s="20" t="s">
        <v>29</v>
      </c>
      <c r="D5" s="29" t="s">
        <v>211</v>
      </c>
    </row>
    <row r="6" spans="1:4">
      <c r="A6" s="32" t="s">
        <v>209</v>
      </c>
      <c r="B6" s="20" t="s">
        <v>212</v>
      </c>
      <c r="C6" s="20" t="s">
        <v>45</v>
      </c>
      <c r="D6" s="29" t="s">
        <v>213</v>
      </c>
    </row>
    <row r="7" spans="1:4">
      <c r="A7" s="32" t="s">
        <v>214</v>
      </c>
      <c r="B7" s="20" t="s">
        <v>215</v>
      </c>
      <c r="C7" s="20" t="s">
        <v>53</v>
      </c>
      <c r="D7" s="29" t="s">
        <v>216</v>
      </c>
    </row>
    <row r="8" spans="1:4">
      <c r="A8" s="32" t="s">
        <v>217</v>
      </c>
      <c r="B8" s="20" t="s">
        <v>218</v>
      </c>
      <c r="C8" s="20" t="s">
        <v>35</v>
      </c>
      <c r="D8" s="29" t="s">
        <v>219</v>
      </c>
    </row>
    <row r="9" spans="1:4">
      <c r="A9" s="32" t="s">
        <v>220</v>
      </c>
      <c r="B9" s="20" t="s">
        <v>221</v>
      </c>
      <c r="C9" s="20" t="s">
        <v>57</v>
      </c>
      <c r="D9" s="29" t="s">
        <v>222</v>
      </c>
    </row>
    <row r="10" spans="1:4">
      <c r="A10" s="32" t="s">
        <v>214</v>
      </c>
      <c r="B10" s="20" t="s">
        <v>223</v>
      </c>
      <c r="C10" s="20" t="s">
        <v>63</v>
      </c>
      <c r="D10" s="29" t="s">
        <v>224</v>
      </c>
    </row>
    <row r="11" spans="1:4">
      <c r="A11" s="32" t="s">
        <v>217</v>
      </c>
      <c r="B11" s="20" t="s">
        <v>225</v>
      </c>
      <c r="C11" s="20" t="s">
        <v>82</v>
      </c>
      <c r="D11" s="29" t="s">
        <v>226</v>
      </c>
    </row>
    <row r="12" spans="1:4">
      <c r="A12" s="34" t="s">
        <v>227</v>
      </c>
      <c r="B12" s="35" t="s">
        <v>228</v>
      </c>
      <c r="C12" s="35" t="s">
        <v>77</v>
      </c>
      <c r="D12" s="36" t="s">
        <v>229</v>
      </c>
    </row>
  </sheetData>
  <mergeCells count="1">
    <mergeCell ref="A1: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전체 점수표</vt:lpstr>
      <vt:lpstr>티어 요약</vt:lpstr>
      <vt:lpstr>평가기준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JAEWON OH</cp:lastModifiedBy>
  <dcterms:modified xsi:type="dcterms:W3CDTF">2026-09-17T05:33:53Z</dcterms:modified>
</cp:coreProperties>
</file>