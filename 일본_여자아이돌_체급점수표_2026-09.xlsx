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229bbbab42499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전체 점수표" sheetId="1" r:id="Rc3780d3adf124033"/>
    <x:sheet xmlns:r="http://schemas.openxmlformats.org/officeDocument/2006/relationships" name="티어 요약" sheetId="2" r:id="Re7b497591d774f57"/>
    <x:sheet xmlns:r="http://schemas.openxmlformats.org/officeDocument/2006/relationships" name="평가기준" sheetId="3" r:id="Rcf7b56fd269f4bfd"/>
    <x:sheet xmlns:r="http://schemas.openxmlformats.org/officeDocument/2006/relationships" name="Sources" sheetId="4" r:id="Rc1a2ac7f9cf1438e"/>
    <x:sheet xmlns:r="http://schemas.openxmlformats.org/officeDocument/2006/relationships" name="검증·방법론" sheetId="5" r:id="Re1cc0c8d0e9e4491"/>
    <x:sheet xmlns:r="http://schemas.openxmlformats.org/officeDocument/2006/relationships" name="핵심 이벤트 로그" sheetId="6" r:id="R4c8ecdf1c92843b5"/>
    <x:sheet xmlns:r="http://schemas.openxmlformats.org/officeDocument/2006/relationships" name="재평가 근거" sheetId="7" r:id="Rd251ca58d2994f7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"/>
  </x:numFmts>
  <x:fonts count="14">
    <x:font>
      <x:sz val="11"/>
      <x:name val="Carlito"/>
    </x:font>
    <x:font>
      <x:b/>
      <x:sz val="16"/>
      <x:color rgb="FFFFFFFF"/>
      <x:name val="Carlito"/>
    </x:font>
    <x:font>
      <x:sz val="10"/>
      <x:color rgb="FF374151"/>
      <x:name val="Carlito"/>
    </x:font>
    <x:font>
      <x:b/>
      <x:sz val="11"/>
      <x:color rgb="FFFFFFFF"/>
      <x:name val="Carlito"/>
    </x:font>
    <x:font>
      <x:sz val="10"/>
      <x:name val="Carlito"/>
    </x:font>
    <x:font>
      <x:b/>
      <x:sz val="11"/>
      <x:color rgb="FF92400E"/>
      <x:name val="Carlito"/>
    </x:font>
    <x:font>
      <x:b/>
      <x:sz val="16"/>
      <x:color rgb="FFFFFFFF"/>
      <x:name val="Noto Sans CJK KR"/>
    </x:font>
    <x:font>
      <x:sz val="11"/>
      <x:name val="Noto Sans CJK KR"/>
    </x:font>
    <x:font>
      <x:sz val="10"/>
      <x:color rgb="FF374151"/>
      <x:name val="Noto Sans CJK KR"/>
    </x:font>
    <x:font>
      <x:b/>
      <x:sz val="11"/>
      <x:color rgb="FFFFFFFF"/>
      <x:name val="Noto Sans CJK KR"/>
    </x:font>
    <x:font>
      <x:sz val="10"/>
      <x:name val="Noto Sans CJK KR"/>
    </x:font>
    <x:font>
      <x:sz val="10"/>
      <x:color rgb="FFFFFFFF"/>
      <x:name val="Noto Sans CJK KR"/>
    </x:font>
    <x:font>
      <x:b/>
      <x:sz val="10"/>
      <x:color rgb="FFFFFFFF"/>
      <x:name val="Noto Sans CJK KR"/>
    </x:font>
    <x:font>
      <x:b/>
      <x:sz val="11"/>
      <x:color rgb="FF92400E"/>
      <x:name val="Noto Sans CJK KR"/>
    </x:font>
  </x:fonts>
  <x:fills count="16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F3F4F6"/>
      </x:patternFill>
    </x:fill>
    <x:fill>
      <x:patternFill patternType="solid">
        <x:fgColor rgb="FF1F2937"/>
      </x:patternFill>
    </x:fill>
    <x:fill>
      <x:patternFill patternType="solid">
        <x:fgColor rgb="FFEDE9FE"/>
      </x:patternFill>
    </x:fill>
    <x:fill>
      <x:patternFill patternType="solid">
        <x:fgColor rgb="FFDDD6FE"/>
      </x:patternFill>
    </x:fill>
    <x:fill>
      <x:patternFill patternType="solid">
        <x:fgColor rgb="FFDBEAFE"/>
      </x:patternFill>
    </x:fill>
    <x:fill>
      <x:patternFill patternType="solid">
        <x:fgColor rgb="FFBFDBFE"/>
      </x:patternFill>
    </x:fill>
    <x:fill>
      <x:patternFill patternType="solid">
        <x:fgColor rgb="FFCFFAFE"/>
      </x:patternFill>
    </x:fill>
    <x:fill>
      <x:patternFill patternType="solid">
        <x:fgColor rgb="FFA5F3FC"/>
      </x:patternFill>
    </x:fill>
    <x:fill>
      <x:patternFill patternType="solid">
        <x:fgColor rgb="FFFEF3C7"/>
      </x:patternFill>
    </x:fill>
    <x:fill>
      <x:patternFill patternType="solid">
        <x:fgColor rgb="FFFDE68A"/>
      </x:patternFill>
    </x:fill>
    <x:fill>
      <x:patternFill patternType="solid">
        <x:fgColor rgb="FFFED7AA"/>
      </x:patternFill>
    </x:fill>
    <x:fill>
      <x:patternFill patternType="solid">
        <x:fgColor rgb="FFFDBA74"/>
      </x:patternFill>
    </x:fill>
    <x:fill>
      <x:patternFill patternType="solid">
        <x:fgColor rgb="FF15364A"/>
      </x:patternFill>
    </x:fill>
  </x:fills>
  <x:borders count="18"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</x:borders>
  <x:cellStyleXfs count="1">
    <x:xf numFmtId="0" fontId="0" fillId="0" borderId="0"/>
  </x:cellStyleXfs>
  <x:cellXfs count="2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horizontal="center" vertical="center"/>
    </x:xf>
    <x:xf numFmtId="0" fontId="4" fillId="0" borderId="1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3" fillId="4" borderId="4" xfId="0" applyNumberFormat="1" applyFont="1" applyFill="1" applyBorder="1" applyAlignment="1">
      <x:alignment horizontal="center" vertical="center" wrapText="1"/>
    </x:xf>
    <x:xf numFmtId="0" fontId="4" fillId="0" borderId="5" xfId="0" applyNumberFormat="1" applyFont="1" applyFill="1" applyBorder="1" applyAlignment="1">
      <x:alignment horizontal="center" vertical="center"/>
    </x:xf>
    <x:xf numFmtId="0" fontId="4" fillId="0" borderId="6" xfId="0" applyNumberFormat="1" applyFont="1" applyFill="1" applyBorder="1" applyAlignment="1">
      <x:alignment vertical="center" wrapText="1"/>
    </x:xf>
    <x:xf numFmtId="0" fontId="4" fillId="0" borderId="7" xfId="0" applyNumberFormat="1" applyFont="1" applyFill="1" applyBorder="1" applyAlignment="1">
      <x:alignment horizontal="center" vertical="center"/>
    </x:xf>
    <x:xf numFmtId="0" fontId="4" fillId="0" borderId="8" xfId="0" applyNumberFormat="1" applyFont="1" applyFill="1" applyBorder="1" applyAlignment="1">
      <x:alignment vertical="center"/>
    </x:xf>
    <x:xf numFmtId="0" fontId="4" fillId="0" borderId="8" xfId="0" applyNumberFormat="1" applyFont="1" applyFill="1" applyBorder="1" applyAlignment="1">
      <x:alignment horizontal="center" vertical="center"/>
    </x:xf>
    <x:xf numFmtId="0" fontId="4" fillId="0" borderId="9" xfId="0" applyNumberFormat="1" applyFont="1" applyFill="1" applyBorder="1" applyAlignment="1">
      <x:alignment vertical="center" wrapText="1"/>
    </x:xf>
    <x:xf numFmtId="0" fontId="3" fillId="4" borderId="10" xfId="0" applyNumberFormat="1" applyFont="1" applyFill="1" applyBorder="1" applyAlignment="1">
      <x:alignment horizontal="center" vertical="center" wrapText="1"/>
    </x:xf>
    <x:xf numFmtId="0" fontId="3" fillId="4" borderId="11" xfId="0" applyNumberFormat="1" applyFont="1" applyFill="1" applyBorder="1" applyAlignment="1">
      <x:alignment horizontal="center" vertical="center" wrapText="1"/>
    </x:xf>
    <x:xf numFmtId="0" fontId="3" fillId="4" borderId="12" xfId="0" applyNumberFormat="1" applyFont="1" applyFill="1" applyBorder="1" applyAlignment="1">
      <x:alignment horizontal="center" vertical="center" wrapText="1"/>
    </x:xf>
    <x:xf numFmtId="0" fontId="4" fillId="0" borderId="13" xfId="0" applyNumberFormat="1" applyFont="1" applyFill="1" applyBorder="1" applyAlignment="1">
      <x:alignment horizontal="center" vertical="center"/>
    </x:xf>
    <x:xf numFmtId="0" fontId="4" fillId="0" borderId="14" xfId="0" applyNumberFormat="1" applyFont="1" applyFill="1" applyBorder="1" applyAlignment="1">
      <x:alignment vertical="center" wrapText="1"/>
    </x:xf>
    <x:xf numFmtId="0" fontId="4" fillId="0" borderId="15" xfId="0" applyNumberFormat="1" applyFont="1" applyFill="1" applyBorder="1" applyAlignment="1">
      <x:alignment horizontal="center" vertical="center"/>
    </x:xf>
    <x:xf numFmtId="0" fontId="4" fillId="0" borderId="16" xfId="0" applyNumberFormat="1" applyFont="1" applyFill="1" applyBorder="1" applyAlignment="1">
      <x:alignment vertical="center"/>
    </x:xf>
    <x:xf numFmtId="0" fontId="4" fillId="0" borderId="16" xfId="0" applyNumberFormat="1" applyFont="1" applyFill="1" applyBorder="1" applyAlignment="1">
      <x:alignment horizontal="center" vertical="center"/>
    </x:xf>
    <x:xf numFmtId="0" fontId="4" fillId="0" borderId="17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0" fillId="7" borderId="0" xfId="0" applyNumberFormat="1" applyFont="1" applyFill="1" applyBorder="1"/>
    <x:xf numFmtId="0" fontId="0" fillId="7" borderId="1" xfId="0" applyNumberFormat="1" applyFont="1" applyFill="1" applyBorder="1"/>
    <x:xf numFmtId="0" fontId="0" fillId="8" borderId="0" xfId="0" applyNumberFormat="1" applyFont="1" applyFill="1" applyBorder="1"/>
    <x:xf numFmtId="0" fontId="0" fillId="8" borderId="1" xfId="0" applyNumberFormat="1" applyFont="1" applyFill="1" applyBorder="1"/>
    <x:xf numFmtId="0" fontId="0" fillId="9" borderId="0" xfId="0" applyNumberFormat="1" applyFont="1" applyFill="1" applyBorder="1"/>
    <x:xf numFmtId="0" fontId="0" fillId="9" borderId="1" xfId="0" applyNumberFormat="1" applyFont="1" applyFill="1" applyBorder="1"/>
    <x:xf numFmtId="0" fontId="0" fillId="10" borderId="0" xfId="0" applyNumberFormat="1" applyFont="1" applyFill="1" applyBorder="1"/>
    <x:xf numFmtId="0" fontId="0" fillId="10" borderId="1" xfId="0" applyNumberFormat="1" applyFont="1" applyFill="1" applyBorder="1"/>
    <x:xf numFmtId="0" fontId="0" fillId="11" borderId="0" xfId="0" applyNumberFormat="1" applyFont="1" applyFill="1" applyBorder="1"/>
    <x:xf numFmtId="0" fontId="0" fillId="11" borderId="1" xfId="0" applyNumberFormat="1" applyFont="1" applyFill="1" applyBorder="1"/>
    <x:xf numFmtId="0" fontId="0" fillId="12" borderId="0" xfId="0" applyNumberFormat="1" applyFont="1" applyFill="1" applyBorder="1"/>
    <x:xf numFmtId="0" fontId="0" fillId="12" borderId="1" xfId="0" applyNumberFormat="1" applyFont="1" applyFill="1" applyBorder="1"/>
    <x:xf numFmtId="0" fontId="0" fillId="13" borderId="0" xfId="0" applyNumberFormat="1" applyFont="1" applyFill="1" applyBorder="1"/>
    <x:xf numFmtId="0" fontId="0" fillId="13" borderId="1" xfId="0" applyNumberFormat="1" applyFont="1" applyFill="1" applyBorder="1"/>
    <x:xf numFmtId="0" fontId="0" fillId="14" borderId="0" xfId="0" applyNumberFormat="1" applyFont="1" applyFill="1" applyBorder="1"/>
    <x:xf numFmtId="0" fontId="0" fillId="14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5" fillId="11" borderId="0" xfId="0" applyNumberFormat="1" applyFont="1" applyFill="1" applyBorder="1"/>
    <x:xf numFmtId="0" fontId="5" fillId="11" borderId="0" xfId="0" applyNumberFormat="1" applyFont="1" applyFill="1" applyBorder="1" applyAlignment="1">
      <x:alignment wrapText="1"/>
    </x:xf>
    <x:xf numFmtId="0" fontId="5" fillId="11" borderId="1" xfId="0" applyNumberFormat="1" applyFont="1" applyFill="1" applyBorder="1"/>
    <x:xf numFmtId="0" fontId="5" fillId="11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/>
    </x:xf>
    <x:xf numFmtId="0" fontId="3" fillId="4" borderId="3" xfId="0" applyNumberFormat="1" applyFont="1" applyFill="1" applyBorder="1" applyAlignment="1">
      <x:alignment horizontal="center"/>
    </x:xf>
    <x:xf numFmtId="0" fontId="0" fillId="0" borderId="3" xfId="0" applyNumberFormat="1" applyFont="1" applyFill="1" applyBorder="1"/>
    <x:xf numFmtId="0" fontId="3" fillId="4" borderId="4" xfId="0" applyNumberFormat="1" applyFont="1" applyFill="1" applyBorder="1" applyAlignment="1">
      <x:alignment horizontal="center"/>
    </x:xf>
    <x:xf numFmtId="0" fontId="0" fillId="5" borderId="5" xfId="0" applyNumberFormat="1" applyFont="1" applyFill="1" applyBorder="1"/>
    <x:xf numFmtId="0" fontId="0" fillId="0" borderId="0" xfId="0" applyNumberFormat="1" applyFont="1" applyFill="1" applyBorder="1"/>
    <x:xf numFmtId="200" fontId="0" fillId="0" borderId="6" xfId="0" applyNumberFormat="1" applyFont="1" applyFill="1" applyBorder="1"/>
    <x:xf numFmtId="0" fontId="0" fillId="6" borderId="5" xfId="0" applyNumberFormat="1" applyFont="1" applyFill="1" applyBorder="1"/>
    <x:xf numFmtId="0" fontId="0" fillId="7" borderId="5" xfId="0" applyNumberFormat="1" applyFont="1" applyFill="1" applyBorder="1"/>
    <x:xf numFmtId="0" fontId="0" fillId="8" borderId="5" xfId="0" applyNumberFormat="1" applyFont="1" applyFill="1" applyBorder="1"/>
    <x:xf numFmtId="0" fontId="0" fillId="9" borderId="5" xfId="0" applyNumberFormat="1" applyFont="1" applyFill="1" applyBorder="1"/>
    <x:xf numFmtId="0" fontId="0" fillId="10" borderId="5" xfId="0" applyNumberFormat="1" applyFont="1" applyFill="1" applyBorder="1"/>
    <x:xf numFmtId="0" fontId="0" fillId="11" borderId="5" xfId="0" applyNumberFormat="1" applyFont="1" applyFill="1" applyBorder="1"/>
    <x:xf numFmtId="0" fontId="0" fillId="12" borderId="5" xfId="0" applyNumberFormat="1" applyFont="1" applyFill="1" applyBorder="1"/>
    <x:xf numFmtId="0" fontId="0" fillId="0" borderId="6" xfId="0" applyNumberFormat="1" applyFont="1" applyFill="1" applyBorder="1"/>
    <x:xf numFmtId="0" fontId="0" fillId="13" borderId="5" xfId="0" applyNumberFormat="1" applyFont="1" applyFill="1" applyBorder="1"/>
    <x:xf numFmtId="0" fontId="0" fillId="14" borderId="5" xfId="0" applyNumberFormat="1" applyFont="1" applyFill="1" applyBorder="1"/>
    <x:xf numFmtId="0" fontId="0" fillId="0" borderId="5" xfId="0" applyNumberFormat="1" applyFont="1" applyFill="1" applyBorder="1"/>
    <x:xf numFmtId="0" fontId="3" fillId="4" borderId="5" xfId="0" applyNumberFormat="1" applyFont="1" applyFill="1" applyBorder="1" applyAlignment="1">
      <x:alignment horizontal="center"/>
    </x:xf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3" fillId="4" borderId="10" xfId="0" applyNumberFormat="1" applyFont="1" applyFill="1" applyBorder="1" applyAlignment="1">
      <x:alignment horizontal="center"/>
    </x:xf>
    <x:xf numFmtId="0" fontId="3" fillId="4" borderId="11" xfId="0" applyNumberFormat="1" applyFont="1" applyFill="1" applyBorder="1" applyAlignment="1">
      <x:alignment horizontal="center"/>
    </x:xf>
    <x:xf numFmtId="0" fontId="0" fillId="0" borderId="11" xfId="0" applyNumberFormat="1" applyFont="1" applyFill="1" applyBorder="1"/>
    <x:xf numFmtId="0" fontId="3" fillId="4" borderId="12" xfId="0" applyNumberFormat="1" applyFont="1" applyFill="1" applyBorder="1" applyAlignment="1">
      <x:alignment horizontal="center"/>
    </x:xf>
    <x:xf numFmtId="0" fontId="0" fillId="5" borderId="13" xfId="0" applyNumberFormat="1" applyFont="1" applyFill="1" applyBorder="1"/>
    <x:xf numFmtId="200" fontId="0" fillId="0" borderId="14" xfId="0" applyNumberFormat="1" applyFont="1" applyFill="1" applyBorder="1"/>
    <x:xf numFmtId="0" fontId="0" fillId="6" borderId="13" xfId="0" applyNumberFormat="1" applyFont="1" applyFill="1" applyBorder="1"/>
    <x:xf numFmtId="0" fontId="0" fillId="7" borderId="13" xfId="0" applyNumberFormat="1" applyFont="1" applyFill="1" applyBorder="1"/>
    <x:xf numFmtId="0" fontId="0" fillId="8" borderId="13" xfId="0" applyNumberFormat="1" applyFont="1" applyFill="1" applyBorder="1"/>
    <x:xf numFmtId="0" fontId="0" fillId="9" borderId="13" xfId="0" applyNumberFormat="1" applyFont="1" applyFill="1" applyBorder="1"/>
    <x:xf numFmtId="0" fontId="0" fillId="10" borderId="13" xfId="0" applyNumberFormat="1" applyFont="1" applyFill="1" applyBorder="1"/>
    <x:xf numFmtId="0" fontId="0" fillId="11" borderId="13" xfId="0" applyNumberFormat="1" applyFont="1" applyFill="1" applyBorder="1"/>
    <x:xf numFmtId="0" fontId="0" fillId="12" borderId="13" xfId="0" applyNumberFormat="1" applyFont="1" applyFill="1" applyBorder="1"/>
    <x:xf numFmtId="0" fontId="0" fillId="0" borderId="14" xfId="0" applyNumberFormat="1" applyFont="1" applyFill="1" applyBorder="1"/>
    <x:xf numFmtId="0" fontId="0" fillId="13" borderId="13" xfId="0" applyNumberFormat="1" applyFont="1" applyFill="1" applyBorder="1"/>
    <x:xf numFmtId="0" fontId="0" fillId="14" borderId="13" xfId="0" applyNumberFormat="1" applyFont="1" applyFill="1" applyBorder="1"/>
    <x:xf numFmtId="0" fontId="0" fillId="0" borderId="13" xfId="0" applyNumberFormat="1" applyFont="1" applyFill="1" applyBorder="1"/>
    <x:xf numFmtId="0" fontId="3" fillId="4" borderId="13" xfId="0" applyNumberFormat="1" applyFont="1" applyFill="1" applyBorder="1" applyAlignment="1">
      <x:alignment horizontal="center"/>
    </x:xf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4" xfId="0" applyNumberFormat="1" applyFont="1" applyFill="1" applyBorder="1" applyAlignment="1">
      <x:alignment horizontal="center"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horizontal="center" wrapText="1"/>
    </x:xf>
    <x:xf numFmtId="0" fontId="5" fillId="11" borderId="7" xfId="0" applyNumberFormat="1" applyFont="1" applyFill="1" applyBorder="1" applyAlignment="1">
      <x:alignment wrapText="1"/>
    </x:xf>
    <x:xf numFmtId="0" fontId="3" fillId="4" borderId="10" xfId="0" applyNumberFormat="1" applyFont="1" applyFill="1" applyBorder="1" applyAlignment="1">
      <x:alignment horizontal="center" wrapText="1"/>
    </x:xf>
    <x:xf numFmtId="0" fontId="3" fillId="4" borderId="11" xfId="0" applyNumberFormat="1" applyFont="1" applyFill="1" applyBorder="1" applyAlignment="1">
      <x:alignment horizontal="center" wrapText="1"/>
    </x:xf>
    <x:xf numFmtId="0" fontId="3" fillId="4" borderId="12" xfId="0" applyNumberFormat="1" applyFont="1" applyFill="1" applyBorder="1" applyAlignment="1">
      <x:alignment horizontal="center"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3" fillId="4" borderId="13" xfId="0" applyNumberFormat="1" applyFont="1" applyFill="1" applyBorder="1" applyAlignment="1">
      <x:alignment horizontal="center" wrapText="1"/>
    </x:xf>
    <x:xf numFmtId="0" fontId="5" fillId="11" borderId="15" xfId="0" applyNumberFormat="1" applyFont="1" applyFill="1" applyBorder="1" applyAlignment="1">
      <x:alignment wrapText="1"/>
    </x:xf>
    <x:xf numFmtId="0" fontId="6" fillId="2" borderId="0" xfId="0" applyNumberFormat="1" applyFont="1" applyFill="1" applyBorder="1" applyAlignment="1">
      <x:alignment horizontal="center" vertical="center"/>
    </x:xf>
    <x:xf numFmtId="0" fontId="7" fillId="0" borderId="0" xfId="0" applyNumberFormat="1" applyFont="1" applyFill="1" applyBorder="1"/>
    <x:xf numFmtId="0" fontId="8" fillId="3" borderId="0" xfId="0" applyNumberFormat="1" applyFont="1" applyFill="1" applyBorder="1" applyAlignment="1">
      <x:alignment horizontal="center" vertical="center"/>
    </x:xf>
    <x:xf numFmtId="0" fontId="9" fillId="4" borderId="2" xfId="0" applyNumberFormat="1" applyFont="1" applyFill="1" applyBorder="1" applyAlignment="1">
      <x:alignment horizontal="center" vertical="center" wrapText="1"/>
    </x:xf>
    <x:xf numFmtId="0" fontId="9" fillId="4" borderId="3" xfId="0" applyNumberFormat="1" applyFont="1" applyFill="1" applyBorder="1" applyAlignment="1">
      <x:alignment horizontal="center" vertical="center" wrapText="1"/>
    </x:xf>
    <x:xf numFmtId="0" fontId="9" fillId="4" borderId="4" xfId="0" applyNumberFormat="1" applyFont="1" applyFill="1" applyBorder="1" applyAlignment="1">
      <x:alignment horizontal="center" vertical="center" wrapText="1"/>
    </x:xf>
    <x:xf numFmtId="0" fontId="10" fillId="0" borderId="5" xfId="0" applyNumberFormat="1" applyFont="1" applyFill="1" applyBorder="1" applyAlignment="1">
      <x:alignment horizontal="center" vertical="center"/>
    </x:xf>
    <x:xf numFmtId="0" fontId="10" fillId="0" borderId="0" xfId="0" applyNumberFormat="1" applyFont="1" applyFill="1" applyBorder="1" applyAlignment="1">
      <x:alignment vertical="center"/>
    </x:xf>
    <x:xf numFmtId="0" fontId="10" fillId="0" borderId="0" xfId="0" applyNumberFormat="1" applyFont="1" applyFill="1" applyBorder="1" applyAlignment="1">
      <x:alignment horizontal="center" vertical="center"/>
    </x:xf>
    <x:xf numFmtId="0" fontId="10" fillId="0" borderId="6" xfId="0" applyNumberFormat="1" applyFont="1" applyFill="1" applyBorder="1" applyAlignment="1">
      <x:alignment vertical="center" wrapText="1"/>
    </x:xf>
    <x:xf numFmtId="0" fontId="10" fillId="0" borderId="7" xfId="0" applyNumberFormat="1" applyFont="1" applyFill="1" applyBorder="1" applyAlignment="1">
      <x:alignment horizontal="center" vertical="center"/>
    </x:xf>
    <x:xf numFmtId="0" fontId="10" fillId="0" borderId="8" xfId="0" applyNumberFormat="1" applyFont="1" applyFill="1" applyBorder="1" applyAlignment="1">
      <x:alignment vertical="center"/>
    </x:xf>
    <x:xf numFmtId="0" fontId="10" fillId="0" borderId="8" xfId="0" applyNumberFormat="1" applyFont="1" applyFill="1" applyBorder="1" applyAlignment="1">
      <x:alignment horizontal="center" vertical="center"/>
    </x:xf>
    <x:xf numFmtId="0" fontId="10" fillId="0" borderId="9" xfId="0" applyNumberFormat="1" applyFont="1" applyFill="1" applyBorder="1" applyAlignment="1">
      <x:alignment vertical="center" wrapText="1"/>
    </x:xf>
    <x:xf numFmtId="0" fontId="10" fillId="0" borderId="5" xfId="0" applyNumberFormat="1" applyFont="1" applyFill="1" applyBorder="1" applyAlignment="1">
      <x:alignment horizontal="center" vertical="center" wrapText="1"/>
    </x:xf>
    <x:xf numFmtId="0" fontId="10" fillId="0" borderId="0" xfId="0" applyNumberFormat="1" applyFont="1" applyFill="1" applyBorder="1" applyAlignment="1">
      <x:alignment vertical="center" wrapText="1"/>
    </x:xf>
    <x:xf numFmtId="0" fontId="10" fillId="0" borderId="0" xfId="0" applyNumberFormat="1" applyFont="1" applyFill="1" applyBorder="1" applyAlignment="1">
      <x:alignment horizontal="center" vertical="center" wrapText="1"/>
    </x:xf>
    <x:xf numFmtId="0" fontId="10" fillId="0" borderId="7" xfId="0" applyNumberFormat="1" applyFont="1" applyFill="1" applyBorder="1" applyAlignment="1">
      <x:alignment horizontal="center" vertical="center" wrapText="1"/>
    </x:xf>
    <x:xf numFmtId="0" fontId="10" fillId="0" borderId="8" xfId="0" applyNumberFormat="1" applyFont="1" applyFill="1" applyBorder="1" applyAlignment="1">
      <x:alignment vertical="center" wrapText="1"/>
    </x:xf>
    <x:xf numFmtId="0" fontId="10" fillId="0" borderId="8" xfId="0" applyNumberFormat="1" applyFont="1" applyFill="1" applyBorder="1" applyAlignment="1">
      <x:alignment horizontal="center" vertical="center" wrapText="1"/>
    </x:xf>
    <x:xf numFmtId="0" fontId="6" fillId="2" borderId="0" xfId="0" applyNumberFormat="1" applyFont="1" applyFill="1" applyBorder="1" applyAlignment="1">
      <x:alignment horizontal="center"/>
    </x:xf>
    <x:xf numFmtId="0" fontId="9" fillId="4" borderId="2" xfId="0" applyNumberFormat="1" applyFont="1" applyFill="1" applyBorder="1" applyAlignment="1">
      <x:alignment horizontal="center"/>
    </x:xf>
    <x:xf numFmtId="0" fontId="9" fillId="4" borderId="3" xfId="0" applyNumberFormat="1" applyFont="1" applyFill="1" applyBorder="1" applyAlignment="1">
      <x:alignment horizontal="center"/>
    </x:xf>
    <x:xf numFmtId="0" fontId="7" fillId="0" borderId="3" xfId="0" applyNumberFormat="1" applyFont="1" applyFill="1" applyBorder="1"/>
    <x:xf numFmtId="0" fontId="9" fillId="4" borderId="4" xfId="0" applyNumberFormat="1" applyFont="1" applyFill="1" applyBorder="1" applyAlignment="1">
      <x:alignment horizontal="center"/>
    </x:xf>
    <x:xf numFmtId="0" fontId="7" fillId="5" borderId="5" xfId="0" applyNumberFormat="1" applyFont="1" applyFill="1" applyBorder="1"/>
    <x:xf numFmtId="200" fontId="7" fillId="0" borderId="6" xfId="0" applyNumberFormat="1" applyFont="1" applyFill="1" applyBorder="1"/>
    <x:xf numFmtId="0" fontId="7" fillId="6" borderId="5" xfId="0" applyNumberFormat="1" applyFont="1" applyFill="1" applyBorder="1"/>
    <x:xf numFmtId="0" fontId="7" fillId="7" borderId="5" xfId="0" applyNumberFormat="1" applyFont="1" applyFill="1" applyBorder="1"/>
    <x:xf numFmtId="0" fontId="7" fillId="8" borderId="5" xfId="0" applyNumberFormat="1" applyFont="1" applyFill="1" applyBorder="1"/>
    <x:xf numFmtId="0" fontId="7" fillId="9" borderId="5" xfId="0" applyNumberFormat="1" applyFont="1" applyFill="1" applyBorder="1"/>
    <x:xf numFmtId="0" fontId="7" fillId="10" borderId="5" xfId="0" applyNumberFormat="1" applyFont="1" applyFill="1" applyBorder="1"/>
    <x:xf numFmtId="0" fontId="7" fillId="11" borderId="5" xfId="0" applyNumberFormat="1" applyFont="1" applyFill="1" applyBorder="1"/>
    <x:xf numFmtId="0" fontId="7" fillId="12" borderId="5" xfId="0" applyNumberFormat="1" applyFont="1" applyFill="1" applyBorder="1"/>
    <x:xf numFmtId="0" fontId="7" fillId="0" borderId="6" xfId="0" applyNumberFormat="1" applyFont="1" applyFill="1" applyBorder="1"/>
    <x:xf numFmtId="0" fontId="7" fillId="13" borderId="5" xfId="0" applyNumberFormat="1" applyFont="1" applyFill="1" applyBorder="1"/>
    <x:xf numFmtId="0" fontId="7" fillId="14" borderId="5" xfId="0" applyNumberFormat="1" applyFont="1" applyFill="1" applyBorder="1"/>
    <x:xf numFmtId="0" fontId="7" fillId="0" borderId="5" xfId="0" applyNumberFormat="1" applyFont="1" applyFill="1" applyBorder="1"/>
    <x:xf numFmtId="0" fontId="9" fillId="4" borderId="5" xfId="0" applyNumberFormat="1" applyFont="1" applyFill="1" applyBorder="1" applyAlignment="1">
      <x:alignment horizontal="center"/>
    </x:xf>
    <x:xf numFmtId="0" fontId="9" fillId="4" borderId="0" xfId="0" applyNumberFormat="1" applyFont="1" applyFill="1" applyBorder="1" applyAlignment="1">
      <x:alignment horizontal="center"/>
    </x:xf>
    <x:xf numFmtId="0" fontId="7" fillId="0" borderId="7" xfId="0" applyNumberFormat="1" applyFont="1" applyFill="1" applyBorder="1"/>
    <x:xf numFmtId="0" fontId="7" fillId="0" borderId="8" xfId="0" applyNumberFormat="1" applyFont="1" applyFill="1" applyBorder="1"/>
    <x:xf numFmtId="0" fontId="7" fillId="0" borderId="9" xfId="0" applyNumberFormat="1" applyFont="1" applyFill="1" applyBorder="1"/>
    <x:xf numFmtId="0" fontId="10" fillId="0" borderId="0" xfId="0" applyNumberFormat="1" applyFont="1" applyFill="1" applyBorder="1"/>
    <x:xf numFmtId="0" fontId="10" fillId="15" borderId="0" xfId="0" applyNumberFormat="1" applyFont="1" applyFill="1" applyBorder="1" applyAlignment="1">
      <x:alignment vertical="center"/>
    </x:xf>
    <x:xf numFmtId="0" fontId="11" fillId="15" borderId="0" xfId="0" applyNumberFormat="1" applyFont="1" applyFill="1" applyBorder="1" applyAlignment="1">
      <x:alignment vertical="center"/>
    </x:xf>
    <x:xf numFmtId="0" fontId="12" fillId="15" borderId="0" xfId="0" applyNumberFormat="1" applyFont="1" applyFill="1" applyBorder="1" applyAlignment="1">
      <x:alignment vertical="center"/>
    </x:xf>
    <x:xf numFmtId="0" fontId="12" fillId="15" borderId="0" xfId="0" applyNumberFormat="1" applyFont="1" applyFill="1" applyBorder="1" applyAlignment="1">
      <x:alignment vertical="center" wrapText="1"/>
    </x:xf>
    <x:xf numFmtId="0" fontId="9" fillId="4" borderId="2" xfId="0" applyNumberFormat="1" applyFont="1" applyFill="1" applyBorder="1" applyAlignment="1">
      <x:alignment horizontal="center" wrapText="1"/>
    </x:xf>
    <x:xf numFmtId="0" fontId="9" fillId="4" borderId="3" xfId="0" applyNumberFormat="1" applyFont="1" applyFill="1" applyBorder="1" applyAlignment="1">
      <x:alignment horizontal="center" wrapText="1"/>
    </x:xf>
    <x:xf numFmtId="0" fontId="9" fillId="4" borderId="4" xfId="0" applyNumberFormat="1" applyFont="1" applyFill="1" applyBorder="1" applyAlignment="1">
      <x:alignment horizontal="center" wrapText="1"/>
    </x:xf>
    <x:xf numFmtId="0" fontId="7" fillId="0" borderId="5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wrapText="1"/>
    </x:xf>
    <x:xf numFmtId="0" fontId="7" fillId="0" borderId="6" xfId="0" applyNumberFormat="1" applyFont="1" applyFill="1" applyBorder="1" applyAlignment="1">
      <x:alignment wrapText="1"/>
    </x:xf>
    <x:xf numFmtId="0" fontId="9" fillId="4" borderId="5" xfId="0" applyNumberFormat="1" applyFont="1" applyFill="1" applyBorder="1" applyAlignment="1">
      <x:alignment horizontal="center" wrapText="1"/>
    </x:xf>
    <x:xf numFmtId="0" fontId="9" fillId="4" borderId="0" xfId="0" applyNumberFormat="1" applyFont="1" applyFill="1" applyBorder="1" applyAlignment="1">
      <x:alignment horizontal="center" wrapText="1"/>
    </x:xf>
    <x:xf numFmtId="0" fontId="13" fillId="11" borderId="7" xfId="0" applyNumberFormat="1" applyFont="1" applyFill="1" applyBorder="1" applyAlignment="1">
      <x:alignment wrapText="1"/>
    </x:xf>
    <x:xf numFmtId="0" fontId="6" fillId="2" borderId="0" xfId="0" applyNumberFormat="1" applyFont="1" applyFill="1" applyBorder="1" applyAlignment="1">
      <x:alignment horizontal="center" wrapText="1"/>
    </x:xf>
    <x:xf numFmtId="0" fontId="12" fillId="2" borderId="0" xfId="0" applyNumberFormat="1" applyFont="1" applyFill="1" applyBorder="1" applyAlignment="1">
      <x:alignment horizontal="center" wrapText="1"/>
    </x:xf>
    <x:xf numFmtId="0" fontId="10" fillId="0" borderId="0" xfId="0" applyNumberFormat="1" applyFont="1" applyFill="1" applyBorder="1" applyAlignment="1">
      <x:alignment wrapText="1"/>
    </x:xf>
    <x:xf numFmtId="0" fontId="12" fillId="4" borderId="2" xfId="0" applyNumberFormat="1" applyFont="1" applyFill="1" applyBorder="1" applyAlignment="1">
      <x:alignment horizontal="center"/>
    </x:xf>
    <x:xf numFmtId="0" fontId="12" fillId="4" borderId="3" xfId="0" applyNumberFormat="1" applyFont="1" applyFill="1" applyBorder="1" applyAlignment="1">
      <x:alignment horizontal="center"/>
    </x:xf>
    <x:xf numFmtId="0" fontId="12" fillId="4" borderId="4" xfId="0" applyNumberFormat="1" applyFont="1" applyFill="1" applyBorder="1" applyAlignment="1">
      <x:alignment horizontal="center"/>
    </x:xf>
    <x:xf numFmtId="0" fontId="10" fillId="0" borderId="5" xfId="0" applyNumberFormat="1" applyFont="1" applyFill="1" applyBorder="1"/>
    <x:xf numFmtId="0" fontId="10" fillId="0" borderId="6" xfId="0" applyNumberFormat="1" applyFont="1" applyFill="1" applyBorder="1"/>
    <x:xf numFmtId="0" fontId="10" fillId="0" borderId="7" xfId="0" applyNumberFormat="1" applyFont="1" applyFill="1" applyBorder="1"/>
    <x:xf numFmtId="0" fontId="10" fillId="0" borderId="8" xfId="0" applyNumberFormat="1" applyFont="1" applyFill="1" applyBorder="1"/>
    <x:xf numFmtId="0" fontId="10" fillId="0" borderId="9" xfId="0" applyNumberFormat="1" applyFont="1" applyFill="1" applyBorder="1"/>
    <x:xf numFmtId="0" fontId="12" fillId="2" borderId="0" xfId="0" applyNumberFormat="1" applyFont="1" applyFill="1" applyBorder="1" applyAlignment="1">
      <x:alignment horizontal="center" vertical="center" wrapText="1"/>
    </x:xf>
    <x:xf numFmtId="0" fontId="12" fillId="4" borderId="2" xfId="0" applyNumberFormat="1" applyFont="1" applyFill="1" applyBorder="1" applyAlignment="1">
      <x:alignment horizontal="center" vertical="center"/>
    </x:xf>
    <x:xf numFmtId="0" fontId="12" fillId="4" borderId="3" xfId="0" applyNumberFormat="1" applyFont="1" applyFill="1" applyBorder="1" applyAlignment="1">
      <x:alignment horizontal="center" vertical="center"/>
    </x:xf>
    <x:xf numFmtId="0" fontId="12" fillId="4" borderId="4" xfId="0" applyNumberFormat="1" applyFont="1" applyFill="1" applyBorder="1" applyAlignment="1">
      <x:alignment horizontal="center" vertical="center"/>
    </x:xf>
    <x:xf numFmtId="0" fontId="10" fillId="0" borderId="5" xfId="0" applyNumberFormat="1" applyFont="1" applyFill="1" applyBorder="1" applyAlignment="1">
      <x:alignment vertical="center"/>
    </x:xf>
    <x:xf numFmtId="0" fontId="10" fillId="0" borderId="6" xfId="0" applyNumberFormat="1" applyFont="1" applyFill="1" applyBorder="1" applyAlignment="1">
      <x:alignment vertical="center"/>
    </x:xf>
    <x:xf numFmtId="0" fontId="10" fillId="0" borderId="7" xfId="0" applyNumberFormat="1" applyFont="1" applyFill="1" applyBorder="1" applyAlignment="1">
      <x:alignment vertical="center"/>
    </x:xf>
    <x:xf numFmtId="0" fontId="10" fillId="0" borderId="9" xfId="0" applyNumberFormat="1" applyFont="1" applyFill="1" applyBorder="1" applyAlignment="1">
      <x:alignment vertical="center"/>
    </x:xf>
    <x:xf numFmtId="0" fontId="10" fillId="15" borderId="5" xfId="0" applyNumberFormat="1" applyFont="1" applyFill="1" applyBorder="1" applyAlignment="1">
      <x:alignment vertical="center"/>
    </x:xf>
    <x:xf numFmtId="0" fontId="10" fillId="15" borderId="6" xfId="0" applyNumberFormat="1" applyFont="1" applyFill="1" applyBorder="1" applyAlignment="1">
      <x:alignment vertical="center"/>
    </x:xf>
    <x:xf numFmtId="0" fontId="11" fillId="15" borderId="5" xfId="0" applyNumberFormat="1" applyFont="1" applyFill="1" applyBorder="1" applyAlignment="1">
      <x:alignment vertical="center"/>
    </x:xf>
    <x:xf numFmtId="0" fontId="11" fillId="15" borderId="6" xfId="0" applyNumberFormat="1" applyFont="1" applyFill="1" applyBorder="1" applyAlignment="1">
      <x:alignment vertical="center"/>
    </x:xf>
    <x:xf numFmtId="0" fontId="12" fillId="15" borderId="5" xfId="0" applyNumberFormat="1" applyFont="1" applyFill="1" applyBorder="1" applyAlignment="1">
      <x:alignment vertical="center"/>
    </x:xf>
    <x:xf numFmtId="0" fontId="12" fillId="15" borderId="6" xfId="0" applyNumberFormat="1" applyFont="1" applyFill="1" applyBorder="1" applyAlignment="1">
      <x:alignment vertical="center"/>
    </x:xf>
    <x:xf numFmtId="0" fontId="12" fillId="15" borderId="5" xfId="0" applyNumberFormat="1" applyFont="1" applyFill="1" applyBorder="1" applyAlignment="1">
      <x:alignment vertical="center" wrapText="1"/>
    </x:xf>
    <x:xf numFmtId="0" fontId="12" fillId="15" borderId="6" xfId="0" applyNumberFormat="1" applyFont="1" applyFill="1" applyBorder="1" applyAlignment="1">
      <x:alignment vertical="center" wrapText="1"/>
    </x:xf>
    <x:xf numFmtId="0" fontId="10" fillId="0" borderId="5" xfId="0" applyNumberFormat="1" applyFont="1" applyFill="1" applyBorder="1" applyAlignment="1">
      <x:alignment vertical="center" wrapText="1"/>
    </x:xf>
    <x:xf numFmtId="0" fontId="10" fillId="0" borderId="7" xfId="0" applyNumberFormat="1" applyFont="1" applyFill="1" applyBorder="1" applyAlignment="1">
      <x:alignment vertical="center" wrapText="1"/>
    </x:xf>
    <x:xf numFmtId="0" fontId="13" fillId="11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vertical="center" wrapText="1"/>
    </x:xf>
    <x:xf numFmtId="0" fontId="13" fillId="11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0">
    <x:dxf>
      <x:font>
        <x:b/>
      </x:font>
      <x:fill>
        <x:patternFill>
          <x:bgColor rgb="FFEDE9FE"/>
        </x:patternFill>
      </x:fill>
    </x:dxf>
    <x:dxf>
      <x:font>
        <x:b/>
      </x:font>
      <x:fill>
        <x:patternFill>
          <x:bgColor rgb="FFDDD6FE"/>
        </x:patternFill>
      </x:fill>
    </x:dxf>
    <x:dxf>
      <x:font>
        <x:b/>
      </x:font>
      <x:fill>
        <x:patternFill>
          <x:bgColor rgb="FFDBEAFE"/>
        </x:patternFill>
      </x:fill>
    </x:dxf>
    <x:dxf>
      <x:font>
        <x:b/>
      </x:font>
      <x:fill>
        <x:patternFill>
          <x:bgColor rgb="FFBFDBFE"/>
        </x:patternFill>
      </x:fill>
    </x:dxf>
    <x:dxf>
      <x:font>
        <x:b/>
      </x:font>
      <x:fill>
        <x:patternFill>
          <x:bgColor rgb="FFCFFAFE"/>
        </x:patternFill>
      </x:fill>
    </x:dxf>
    <x:dxf>
      <x:font>
        <x:b/>
      </x:font>
      <x:fill>
        <x:patternFill>
          <x:bgColor rgb="FFA5F3FC"/>
        </x:patternFill>
      </x:fill>
    </x:dxf>
    <x:dxf>
      <x:font>
        <x:b/>
      </x:font>
      <x:fill>
        <x:patternFill>
          <x:bgColor rgb="FFFEF3C7"/>
        </x:patternFill>
      </x:fill>
    </x:dxf>
    <x:dxf>
      <x:font>
        <x:b/>
      </x:font>
      <x:fill>
        <x:patternFill>
          <x:bgColor rgb="FFFDE68A"/>
        </x:patternFill>
      </x:fill>
    </x:dxf>
    <x:dxf>
      <x:font>
        <x:b/>
      </x:font>
      <x:fill>
        <x:patternFill>
          <x:bgColor rgb="FFFED7AA"/>
        </x:patternFill>
      </x:fill>
    </x:dxf>
    <x:dxf>
      <x:font>
        <x:b/>
      </x:font>
      <x:fill>
        <x:patternFill>
          <x:bgColor rgb="FFFDBA7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d64bf98c950495d" /><Relationship Type="http://schemas.openxmlformats.org/officeDocument/2006/relationships/theme" Target="/xl/theme/theme1.xml" Id="Rb0cc83b8872e44f4" /><Relationship Type="http://schemas.openxmlformats.org/officeDocument/2006/relationships/sharedStrings" Target="/xl/sharedStrings.xml" Id="R742f19c256fd473a" /><Relationship Type="http://schemas.openxmlformats.org/officeDocument/2006/relationships/worksheet" Target="/xl/worksheets/sheet1.xml" Id="Rc3780d3adf124033" /><Relationship Type="http://schemas.openxmlformats.org/officeDocument/2006/relationships/worksheet" Target="/xl/worksheets/sheet2.xml" Id="Re7b497591d774f57" /><Relationship Type="http://schemas.openxmlformats.org/officeDocument/2006/relationships/worksheet" Target="/xl/worksheets/sheet3.xml" Id="Rcf7b56fd269f4bfd" /><Relationship Type="http://schemas.openxmlformats.org/officeDocument/2006/relationships/worksheet" Target="/xl/worksheets/sheet4.xml" Id="Rc1a2ac7f9cf1438e" /><Relationship Type="http://schemas.openxmlformats.org/officeDocument/2006/relationships/worksheet" Target="/xl/worksheets/sheet5.xml" Id="Re1cc0c8d0e9e4491" /><Relationship Type="http://schemas.openxmlformats.org/officeDocument/2006/relationships/worksheet" Target="/xl/worksheets/sheet6.xml" Id="R4c8ecdf1c92843b5" /><Relationship Type="http://schemas.openxmlformats.org/officeDocument/2006/relationships/worksheet" Target="/xl/worksheets/sheet7.xml" Id="Rd251ca58d2994f7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704bdb62b494b4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일본 여자아이돌 체급점수 TOP 20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총점</c:v>
          </c:tx>
          <c:cat>
            <c:strRef>
              <c:f>'티어 요약'!$B$17:$B$36</c:f>
              <c:strCache>
                <c:ptCount val="0"/>
              </c:strCache>
            </c:strRef>
          </c:cat>
          <c:val>
            <c:numRef>
              <c:f>'티어 요약'!$C$17:$C$36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Offset val="10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14</xdr:row>
      <xdr:rowOff>0</xdr:rowOff>
    </xdr:from>
    <xdr:to>
      <xdr:col>12</xdr:col>
      <xdr:colOff>0</xdr:colOff>
      <xdr:row>36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704bdb62b494b41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JapanIdolScores" displayName="JapanIdolScores" ref="A4:L130" headerRowCount="1" totalsRowCount="0" totalsRowShown="0">
  <x:tableColumns count="12">
    <x:tableColumn id="1" name="순위"/>
    <x:tableColumn id="2" name="그룹"/>
    <x:tableColumn id="3" name="공연·현장&#10;(25)"/>
    <x:tableColumn id="4" name="팬덤·구매력&#10;(20)"/>
    <x:tableColumn id="5" name="대중인지도&#10;(20)"/>
    <x:tableColumn id="6" name="스트리밍·SNS&#10;(15)"/>
    <x:tableColumn id="7" name="현재 기세&#10;(10)"/>
    <x:tableColumn id="8" name="업계 영향력&#10;(10)"/>
    <x:tableColumn id="9" name="총점"/>
    <x:tableColumn id="10" name="등급"/>
    <x:tableColumn id="11" name="평가 신뢰도"/>
    <x:tableColumn id="12" name="평가 메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1b8cdb6ed58415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fac1bf8dda564f89" /></Relationships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9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23" hidden="0" customWidth="1"/>
    <x:col min="12" max="12" width="90" hidden="0" customWidth="1"/>
  </x:cols>
  <x:sheetData>
    <x:row r="1" ht="30" customHeight="1">
      <x:c r="A1" s="143" t="str">
        <x:v>2026 일본 여자아이돌 체급 점수표</x:v>
      </x:c>
      <x:c r="B1" s="144"/>
      <x:c r="C1" s="144"/>
      <x:c r="D1" s="144"/>
      <x:c r="E1" s="144"/>
      <x:c r="F1" s="144"/>
      <x:c r="G1" s="144"/>
      <x:c r="H1" s="144"/>
      <x:c r="I1" s="144"/>
      <x:c r="J1" s="144"/>
      <x:c r="K1" s="144"/>
      <x:c r="L1" s="144"/>
    </x:row>
    <x:row r="2" ht="22" customHeight="1">
      <x:c r="A2" s="145" t="str">
        <x:v>기준일 2026-09-15 · 공연/현장 25 + 팬덤/구매력 20 + 대중인지도 20 + 스트리밍/SNS 15 + 현재기세 10 + 업계영향력 10 = 100점</x:v>
      </x:c>
      <x:c r="B2" s="144"/>
      <x:c r="C2" s="144"/>
      <x:c r="D2" s="144"/>
      <x:c r="E2" s="144"/>
      <x:c r="F2" s="144"/>
      <x:c r="G2" s="144"/>
      <x:c r="H2" s="144"/>
      <x:c r="I2" s="144"/>
      <x:c r="J2" s="144"/>
      <x:c r="K2" s="144"/>
      <x:c r="L2" s="144"/>
    </x:row>
    <x:row r="3">
      <x:c r="A3" s="144" t="str">
        <x:v>항목별 근거 우선 재평가 · 전체 점수는 잠정 · 판단 기준과 변경 이유는 검증·방법론 및 재평가 근거 참조</x:v>
      </x:c>
      <x:c r="B3" s="144"/>
      <x:c r="C3" s="144"/>
      <x:c r="D3" s="144"/>
      <x:c r="E3" s="144"/>
      <x:c r="F3" s="144"/>
      <x:c r="G3" s="144"/>
      <x:c r="H3" s="144"/>
      <x:c r="I3" s="144"/>
      <x:c r="J3" s="144"/>
      <x:c r="K3" s="144"/>
      <x:c r="L3" s="144"/>
    </x:row>
    <x:row r="4" ht="34" customHeight="1">
      <x:c r="A4" s="146" t="str">
        <x:v>순위</x:v>
      </x:c>
      <x:c r="B4" s="147" t="str">
        <x:v>그룹</x:v>
      </x:c>
      <x:c r="C4" s="147" t="str">
        <x:v>공연·현장
(25)</x:v>
      </x:c>
      <x:c r="D4" s="147" t="str">
        <x:v>팬덤·구매력
(20)</x:v>
      </x:c>
      <x:c r="E4" s="147" t="str">
        <x:v>대중인지도
(20)</x:v>
      </x:c>
      <x:c r="F4" s="147" t="str">
        <x:v>스트리밍·SNS
(15)</x:v>
      </x:c>
      <x:c r="G4" s="147" t="str">
        <x:v>현재 기세
(10)</x:v>
      </x:c>
      <x:c r="H4" s="147" t="str">
        <x:v>업계 영향력
(10)</x:v>
      </x:c>
      <x:c r="I4" s="147" t="str">
        <x:v>총점</x:v>
      </x:c>
      <x:c r="J4" s="147" t="str">
        <x:v>등급</x:v>
      </x:c>
      <x:c r="K4" s="147" t="str">
        <x:v>평가 신뢰도</x:v>
      </x:c>
      <x:c r="L4" s="148" t="str">
        <x:v>평가 메모</x:v>
      </x:c>
    </x:row>
    <x:row r="5" ht="94" customHeight="1">
      <x:c r="A5" s="157" t="n">
        <x:f>IF(I5="","",COUNTIF($I$5:$I$130,"&gt;"&amp;I5)+1)</x:f>
        <x:v>1</x:v>
      </x:c>
      <x:c r="B5" s="158" t="str">
        <x:v>=LOVE</x:v>
      </x:c>
      <x:c r="C5" s="159" t="n">
        <x:v>25</x:v>
      </x:c>
      <x:c r="D5" s="159" t="n">
        <x:v>18</x:v>
      </x:c>
      <x:c r="E5" s="159" t="n">
        <x:v>17</x:v>
      </x:c>
      <x:c r="F5" s="159" t="n">
        <x:v>14</x:v>
      </x:c>
      <x:c r="G5" s="159" t="n">
        <x:v>7</x:v>
      </x:c>
      <x:c r="H5" s="159" t="n">
        <x:v>8</x:v>
      </x:c>
      <x:c r="I5" s="159" t="n">
        <x:f>IF(COUNT(C5:H5)=6,SUM(C5:H5),"")</x:f>
        <x:v>89</x:v>
      </x:c>
      <x:c r="J5" s="159" t="str">
        <x:f>IF(I5="","",IF(I5&gt;=90,"S+",IF(I5&gt;=80,"S",IF(I5&gt;=70,"A+",IF(I5&gt;=60,"A",IF(I5&gt;=50,"B+",IF(I5&gt;=40,"B",IF(I5&gt;=30,"C+",IF(I5&gt;=20,"C",IF(I5&gt;=10,"D+","D"))))))))))</x:f>
        <x:v>S</x:v>
      </x:c>
      <x:c r="K5" s="159" t="str">
        <x:v>부분확인·잠정</x:v>
      </x:c>
      <x:c r="L5" s="152" t="str">
        <x:v>구조점수 승계: 확인된 새 근거 없이 항목별 점수를 증감하지 않음. E072 관측치, 30/60/90일 유효기간 적용</x:v>
      </x:c>
    </x:row>
    <x:row r="6" ht="94" customHeight="1">
      <x:c r="A6" s="157" t="n">
        <x:f>IF(I6="","",COUNTIF($I$5:$I$130,"&gt;"&amp;I6)+1)</x:f>
        <x:v>2</x:v>
      </x:c>
      <x:c r="B6" s="158" t="str">
        <x:v>乃木坂46</x:v>
      </x:c>
      <x:c r="C6" s="159" t="n">
        <x:v>23</x:v>
      </x:c>
      <x:c r="D6" s="159" t="n">
        <x:v>19</x:v>
      </x:c>
      <x:c r="E6" s="159" t="n">
        <x:v>19</x:v>
      </x:c>
      <x:c r="F6" s="159" t="n">
        <x:v>12</x:v>
      </x:c>
      <x:c r="G6" s="159" t="n">
        <x:v>5</x:v>
      </x:c>
      <x:c r="H6" s="159" t="n">
        <x:v>9</x:v>
      </x:c>
      <x:c r="I6" s="159" t="n">
        <x:f>IF(COUNT(C6:H6)=6,SUM(C6:H6),"")</x:f>
        <x:v>87</x:v>
      </x:c>
      <x:c r="J6" s="159" t="str">
        <x:f>IF(I6="","",IF(I6&gt;=90,"S+",IF(I6&gt;=80,"S",IF(I6&gt;=70,"A+",IF(I6&gt;=60,"A",IF(I6&gt;=50,"B+",IF(I6&gt;=40,"B",IF(I6&gt;=30,"C+",IF(I6&gt;=20,"C",IF(I6&gt;=10,"D+","D"))))))))))</x:f>
        <x:v>S</x:v>
      </x:c>
      <x:c r="K6" s="159" t="str">
        <x:v>미검증 승계·잠정</x:v>
      </x:c>
      <x:c r="L6" s="152" t="str">
        <x:v>구조점수 승계: 확인된 새 근거 없이 항목별 점수를 증감하지 않음. 최근 90일 검증된 가속도 근거 부족: 중립 가정 5점(실측 아님)</x:v>
      </x:c>
    </x:row>
    <x:row r="7" ht="94" customHeight="1">
      <x:c r="A7" s="157" t="n">
        <x:f>IF(I7="","",COUNTIF($I$5:$I$130,"&gt;"&amp;I7)+1)</x:f>
        <x:v>3</x:v>
      </x:c>
      <x:c r="B7" s="158" t="str">
        <x:v>FRUITS ZIPPER</x:v>
      </x:c>
      <x:c r="C7" s="159" t="n">
        <x:v>24</x:v>
      </x:c>
      <x:c r="D7" s="159" t="n">
        <x:v>18</x:v>
      </x:c>
      <x:c r="E7" s="159" t="n">
        <x:v>16</x:v>
      </x:c>
      <x:c r="F7" s="159" t="n">
        <x:v>12</x:v>
      </x:c>
      <x:c r="G7" s="159" t="n">
        <x:v>5</x:v>
      </x:c>
      <x:c r="H7" s="159" t="n">
        <x:v>6</x:v>
      </x:c>
      <x:c r="I7" s="159" t="n">
        <x:f>IF(COUNT(C7:H7)=6,SUM(C7:H7),"")</x:f>
        <x:v>81</x:v>
      </x:c>
      <x:c r="J7" s="159" t="str">
        <x:f>IF(I7="","",IF(I7&gt;=90,"S+",IF(I7&gt;=80,"S",IF(I7&gt;=70,"A+",IF(I7&gt;=60,"A",IF(I7&gt;=50,"B+",IF(I7&gt;=40,"B",IF(I7&gt;=30,"C+",IF(I7&gt;=20,"C",IF(I7&gt;=10,"D+","D"))))))))))</x:f>
        <x:v>S</x:v>
      </x:c>
      <x:c r="K7" s="159" t="str">
        <x:v>부분확인·잠정</x:v>
      </x:c>
      <x:c r="L7" s="152" t="str">
        <x:v>구조점수 승계: 확인된 새 근거 없이 항목별 점수를 증감하지 않음. 최근 90일 검증된 가속도 근거 부족: 중립 가정 5점(실측 아님)</x:v>
      </x:c>
    </x:row>
    <x:row r="8" ht="94" customHeight="1">
      <x:c r="A8" s="157" t="n">
        <x:f>IF(I8="","",COUNTIF($I$5:$I$130,"&gt;"&amp;I8)+1)</x:f>
        <x:v>3</x:v>
      </x:c>
      <x:c r="B8" s="158" t="str">
        <x:v>櫻坂46</x:v>
      </x:c>
      <x:c r="C8" s="159" t="n">
        <x:v>25</x:v>
      </x:c>
      <x:c r="D8" s="159" t="n">
        <x:v>18</x:v>
      </x:c>
      <x:c r="E8" s="159" t="n">
        <x:v>16</x:v>
      </x:c>
      <x:c r="F8" s="159" t="n">
        <x:v>10</x:v>
      </x:c>
      <x:c r="G8" s="159" t="n">
        <x:v>5</x:v>
      </x:c>
      <x:c r="H8" s="159" t="n">
        <x:v>7</x:v>
      </x:c>
      <x:c r="I8" s="159" t="n">
        <x:f>IF(COUNT(C8:H8)=6,SUM(C8:H8),"")</x:f>
        <x:v>81</x:v>
      </x:c>
      <x:c r="J8" s="159" t="str">
        <x:f>IF(I8="","",IF(I8&gt;=90,"S+",IF(I8&gt;=80,"S",IF(I8&gt;=70,"A+",IF(I8&gt;=60,"A",IF(I8&gt;=50,"B+",IF(I8&gt;=40,"B",IF(I8&gt;=30,"C+",IF(I8&gt;=20,"C",IF(I8&gt;=10,"D+","D"))))))))))</x:f>
        <x:v>S</x:v>
      </x:c>
      <x:c r="K8" s="159" t="str">
        <x:v>부분확인·잠정</x:v>
      </x:c>
      <x:c r="L8" s="152" t="str">
        <x:v>구조점수 승계: 확인된 새 근거 없이 항목별 점수를 증감하지 않음. 최근 90일 검증된 가속도 근거 부족: 중립 가정 5점(실측 아님)</x:v>
      </x:c>
    </x:row>
    <x:row r="9" ht="94" customHeight="1">
      <x:c r="A9" s="157" t="n">
        <x:f>IF(I9="","",COUNTIF($I$5:$I$130,"&gt;"&amp;I9)+1)</x:f>
        <x:v>5</x:v>
      </x:c>
      <x:c r="B9" s="158" t="str">
        <x:v>NiziU</x:v>
      </x:c>
      <x:c r="C9" s="159" t="n">
        <x:v>23</x:v>
      </x:c>
      <x:c r="D9" s="159" t="n">
        <x:v>16</x:v>
      </x:c>
      <x:c r="E9" s="159" t="n">
        <x:v>16</x:v>
      </x:c>
      <x:c r="F9" s="159" t="n">
        <x:v>12</x:v>
      </x:c>
      <x:c r="G9" s="159" t="n">
        <x:v>5</x:v>
      </x:c>
      <x:c r="H9" s="159" t="n">
        <x:v>7</x:v>
      </x:c>
      <x:c r="I9" s="159" t="n">
        <x:f>IF(COUNT(C9:H9)=6,SUM(C9:H9),"")</x:f>
        <x:v>79</x:v>
      </x:c>
      <x:c r="J9" s="159" t="str">
        <x:f>IF(I9="","",IF(I9&gt;=90,"S+",IF(I9&gt;=80,"S",IF(I9&gt;=70,"A+",IF(I9&gt;=60,"A",IF(I9&gt;=50,"B+",IF(I9&gt;=40,"B",IF(I9&gt;=30,"C+",IF(I9&gt;=20,"C",IF(I9&gt;=10,"D+","D"))))))))))</x:f>
        <x:v>A+</x:v>
      </x:c>
      <x:c r="K9" s="159" t="str">
        <x:v>미검증 승계·잠정</x:v>
      </x:c>
      <x:c r="L9" s="152" t="str">
        <x:v>구조점수 승계: 확인된 새 근거 없이 항목별 점수를 증감하지 않음. 최근 90일 검증된 가속도 근거 부족: 중립 가정 5점(실측 아님)</x:v>
      </x:c>
    </x:row>
    <x:row r="10" ht="94" customHeight="1">
      <x:c r="A10" s="157" t="n">
        <x:f>IF(I10="","",COUNTIF($I$5:$I$130,"&gt;"&amp;I10)+1)</x:f>
        <x:v>6</x:v>
      </x:c>
      <x:c r="B10" s="158" t="str">
        <x:v>CUTIE STREET</x:v>
      </x:c>
      <x:c r="C10" s="159" t="n">
        <x:v>18</x:v>
      </x:c>
      <x:c r="D10" s="159" t="n">
        <x:v>17</x:v>
      </x:c>
      <x:c r="E10" s="159" t="n">
        <x:v>15</x:v>
      </x:c>
      <x:c r="F10" s="159" t="n">
        <x:v>14</x:v>
      </x:c>
      <x:c r="G10" s="159" t="n">
        <x:v>6</x:v>
      </x:c>
      <x:c r="H10" s="159" t="n">
        <x:v>6</x:v>
      </x:c>
      <x:c r="I10" s="159" t="n">
        <x:f>IF(COUNT(C10:H10)=6,SUM(C10:H10),"")</x:f>
        <x:v>76</x:v>
      </x:c>
      <x:c r="J10" s="159" t="str">
        <x:f>IF(I10="","",IF(I10&gt;=90,"S+",IF(I10&gt;=80,"S",IF(I10&gt;=70,"A+",IF(I10&gt;=60,"A",IF(I10&gt;=50,"B+",IF(I10&gt;=40,"B",IF(I10&gt;=30,"C+",IF(I10&gt;=20,"C",IF(I10&gt;=10,"D+","D"))))))))))</x:f>
        <x:v>A+</x:v>
      </x:c>
      <x:c r="K10" s="159" t="str">
        <x:v>부분확인·잠정</x:v>
      </x:c>
      <x:c r="L10" s="152" t="str">
        <x:v>구조점수 승계: 확인된 새 근거 없이 항목별 점수를 증감하지 않음. E073 관측치, 30/60/90일 유효기간 적용</x:v>
      </x:c>
    </x:row>
    <x:row r="11" ht="94" customHeight="1">
      <x:c r="A11" s="157" t="n">
        <x:f>IF(I11="","",COUNTIF($I$5:$I$130,"&gt;"&amp;I11)+1)</x:f>
        <x:v>7</x:v>
      </x:c>
      <x:c r="B11" s="158" t="str">
        <x:v>AKB48</x:v>
      </x:c>
      <x:c r="C11" s="159" t="n">
        <x:v>17</x:v>
      </x:c>
      <x:c r="D11" s="159" t="n">
        <x:v>17</x:v>
      </x:c>
      <x:c r="E11" s="159" t="n">
        <x:v>19</x:v>
      </x:c>
      <x:c r="F11" s="159" t="n">
        <x:v>8</x:v>
      </x:c>
      <x:c r="G11" s="159" t="n">
        <x:v>5</x:v>
      </x:c>
      <x:c r="H11" s="159" t="n">
        <x:v>8</x:v>
      </x:c>
      <x:c r="I11" s="159" t="n">
        <x:f>IF(COUNT(C11:H11)=6,SUM(C11:H11),"")</x:f>
        <x:v>74</x:v>
      </x:c>
      <x:c r="J11" s="159" t="str">
        <x:f>IF(I11="","",IF(I11&gt;=90,"S+",IF(I11&gt;=80,"S",IF(I11&gt;=70,"A+",IF(I11&gt;=60,"A",IF(I11&gt;=50,"B+",IF(I11&gt;=40,"B",IF(I11&gt;=30,"C+",IF(I11&gt;=20,"C",IF(I11&gt;=10,"D+","D"))))))))))</x:f>
        <x:v>A+</x:v>
      </x:c>
      <x:c r="K11" s="159" t="str">
        <x:v>미검증 승계·잠정</x:v>
      </x:c>
      <x:c r="L11" s="152" t="str">
        <x:v>구조점수 승계: 확인된 새 근거 없이 항목별 점수를 증감하지 않음. 최근 90일 검증된 가속도 근거 부족: 중립 가정 5점(실측 아님)</x:v>
      </x:c>
    </x:row>
    <x:row r="12" ht="94" customHeight="1">
      <x:c r="A12" s="157" t="n">
        <x:f>IF(I12="","",COUNTIF($I$5:$I$130,"&gt;"&amp;I12)+1)</x:f>
        <x:v>7</x:v>
      </x:c>
      <x:c r="B12" s="158" t="str">
        <x:v>日向坂46</x:v>
      </x:c>
      <x:c r="C12" s="159" t="n">
        <x:v>20</x:v>
      </x:c>
      <x:c r="D12" s="159" t="n">
        <x:v>17</x:v>
      </x:c>
      <x:c r="E12" s="159" t="n">
        <x:v>16</x:v>
      </x:c>
      <x:c r="F12" s="159" t="n">
        <x:v>9</x:v>
      </x:c>
      <x:c r="G12" s="159" t="n">
        <x:v>5</x:v>
      </x:c>
      <x:c r="H12" s="159" t="n">
        <x:v>7</x:v>
      </x:c>
      <x:c r="I12" s="159" t="n">
        <x:f>IF(COUNT(C12:H12)=6,SUM(C12:H12),"")</x:f>
        <x:v>74</x:v>
      </x:c>
      <x:c r="J12" s="159" t="str">
        <x:f>IF(I12="","",IF(I12&gt;=90,"S+",IF(I12&gt;=80,"S",IF(I12&gt;=70,"A+",IF(I12&gt;=60,"A",IF(I12&gt;=50,"B+",IF(I12&gt;=40,"B",IF(I12&gt;=30,"C+",IF(I12&gt;=20,"C",IF(I12&gt;=10,"D+","D"))))))))))</x:f>
        <x:v>A+</x:v>
      </x:c>
      <x:c r="K12" s="159" t="str">
        <x:v>미검증 승계·잠정</x:v>
      </x:c>
      <x:c r="L12" s="152" t="str">
        <x:v>구조점수 승계: 확인된 새 근거 없이 항목별 점수를 증감하지 않음. 최근 90일 검증된 가속도 근거 부족: 중립 가정 5점(실측 아님)</x:v>
      </x:c>
    </x:row>
    <x:row r="13" ht="94" customHeight="1">
      <x:c r="A13" s="157" t="n">
        <x:f>IF(I13="","",COUNTIF($I$5:$I$130,"&gt;"&amp;I13)+1)</x:f>
        <x:v>9</x:v>
      </x:c>
      <x:c r="B13" s="158" t="str">
        <x:v>ME:I</x:v>
      </x:c>
      <x:c r="C13" s="159" t="n">
        <x:v>17</x:v>
      </x:c>
      <x:c r="D13" s="159" t="n">
        <x:v>17</x:v>
      </x:c>
      <x:c r="E13" s="159" t="n">
        <x:v>15</x:v>
      </x:c>
      <x:c r="F13" s="159" t="n">
        <x:v>12</x:v>
      </x:c>
      <x:c r="G13" s="159" t="n">
        <x:v>5</x:v>
      </x:c>
      <x:c r="H13" s="159" t="n">
        <x:v>6</x:v>
      </x:c>
      <x:c r="I13" s="159" t="n">
        <x:f>IF(COUNT(C13:H13)=6,SUM(C13:H13),"")</x:f>
        <x:v>72</x:v>
      </x:c>
      <x:c r="J13" s="159" t="str">
        <x:f>IF(I13="","",IF(I13&gt;=90,"S+",IF(I13&gt;=80,"S",IF(I13&gt;=70,"A+",IF(I13&gt;=60,"A",IF(I13&gt;=50,"B+",IF(I13&gt;=40,"B",IF(I13&gt;=30,"C+",IF(I13&gt;=20,"C",IF(I13&gt;=10,"D+","D"))))))))))</x:f>
        <x:v>A+</x:v>
      </x:c>
      <x:c r="K13" s="159" t="str">
        <x:v>미검증 승계·잠정</x:v>
      </x:c>
      <x:c r="L13" s="152" t="str">
        <x:v>구조점수 승계: 확인된 새 근거 없이 항목별 점수를 증감하지 않음. 최근 90일 검증된 가속도 근거 부족: 중립 가정 5점(실측 아님)</x:v>
      </x:c>
    </x:row>
    <x:row r="14" ht="94" customHeight="1">
      <x:c r="A14" s="157" t="n">
        <x:f>IF(I14="","",COUNTIF($I$5:$I$130,"&gt;"&amp;I14)+1)</x:f>
        <x:v>9</x:v>
      </x:c>
      <x:c r="B14" s="158" t="str">
        <x:v>超ときめき♡宣伝部</x:v>
      </x:c>
      <x:c r="C14" s="159" t="n">
        <x:v>20</x:v>
      </x:c>
      <x:c r="D14" s="159" t="n">
        <x:v>15</x:v>
      </x:c>
      <x:c r="E14" s="159" t="n">
        <x:v>15</x:v>
      </x:c>
      <x:c r="F14" s="159" t="n">
        <x:v>11</x:v>
      </x:c>
      <x:c r="G14" s="159" t="n">
        <x:v>5</x:v>
      </x:c>
      <x:c r="H14" s="159" t="n">
        <x:v>6</x:v>
      </x:c>
      <x:c r="I14" s="159" t="n">
        <x:f>IF(COUNT(C14:H14)=6,SUM(C14:H14),"")</x:f>
        <x:v>72</x:v>
      </x:c>
      <x:c r="J14" s="159" t="str">
        <x:f>IF(I14="","",IF(I14&gt;=90,"S+",IF(I14&gt;=80,"S",IF(I14&gt;=70,"A+",IF(I14&gt;=60,"A",IF(I14&gt;=50,"B+",IF(I14&gt;=40,"B",IF(I14&gt;=30,"C+",IF(I14&gt;=20,"C",IF(I14&gt;=10,"D+","D"))))))))))</x:f>
        <x:v>A+</x:v>
      </x:c>
      <x:c r="K14" s="159" t="str">
        <x:v>미검증 승계·잠정</x:v>
      </x:c>
      <x:c r="L14" s="152" t="str">
        <x:v>구조점수 승계: 확인된 새 근거 없이 항목별 점수를 증감하지 않음. 최근 90일 검증된 가속도 근거 부족: 중립 가정 5점(실측 아님)</x:v>
      </x:c>
    </x:row>
    <x:row r="15" ht="94" customHeight="1">
      <x:c r="A15" s="157" t="n">
        <x:f>IF(I15="","",COUNTIF($I$5:$I$130,"&gt;"&amp;I15)+1)</x:f>
        <x:v>11</x:v>
      </x:c>
      <x:c r="B15" s="158" t="str">
        <x:v>i☆Ris</x:v>
      </x:c>
      <x:c r="C15" s="159" t="n">
        <x:v>19</x:v>
      </x:c>
      <x:c r="D15" s="159" t="n">
        <x:v>15</x:v>
      </x:c>
      <x:c r="E15" s="159" t="n">
        <x:v>13</x:v>
      </x:c>
      <x:c r="F15" s="159" t="n">
        <x:v>10</x:v>
      </x:c>
      <x:c r="G15" s="159" t="n">
        <x:v>5</x:v>
      </x:c>
      <x:c r="H15" s="159" t="n">
        <x:v>7</x:v>
      </x:c>
      <x:c r="I15" s="159" t="n">
        <x:f>IF(COUNT(C15:H15)=6,SUM(C15:H15),"")</x:f>
        <x:v>69</x:v>
      </x:c>
      <x:c r="J15" s="159" t="str">
        <x:f>IF(I15="","",IF(I15&gt;=90,"S+",IF(I15&gt;=80,"S",IF(I15&gt;=70,"A+",IF(I15&gt;=60,"A",IF(I15&gt;=50,"B+",IF(I15&gt;=40,"B",IF(I15&gt;=30,"C+",IF(I15&gt;=20,"C",IF(I15&gt;=10,"D+","D"))))))))))</x:f>
        <x:v>A</x:v>
      </x:c>
      <x:c r="K15" s="159" t="str">
        <x:v>미검증 승계·잠정</x:v>
      </x:c>
      <x:c r="L15" s="152" t="str">
        <x:v>구조점수 승계: 확인된 새 근거 없이 항목별 점수를 증감하지 않음. 최근 90일 검증된 가속도 근거 부족: 중립 가정 5점(실측 아님)</x:v>
      </x:c>
    </x:row>
    <x:row r="16" ht="94" customHeight="1">
      <x:c r="A16" s="157" t="n">
        <x:f>IF(I16="","",COUNTIF($I$5:$I$130,"&gt;"&amp;I16)+1)</x:f>
        <x:v>12</x:v>
      </x:c>
      <x:c r="B16" s="158" t="str">
        <x:v>モーニング娘。'26</x:v>
      </x:c>
      <x:c r="C16" s="159" t="n">
        <x:v>17</x:v>
      </x:c>
      <x:c r="D16" s="159" t="n">
        <x:v>16</x:v>
      </x:c>
      <x:c r="E16" s="159" t="n">
        <x:v>16</x:v>
      </x:c>
      <x:c r="F16" s="159" t="n">
        <x:v>8</x:v>
      </x:c>
      <x:c r="G16" s="159" t="n">
        <x:v>5</x:v>
      </x:c>
      <x:c r="H16" s="159" t="n">
        <x:v>6</x:v>
      </x:c>
      <x:c r="I16" s="159" t="n">
        <x:f>IF(COUNT(C16:H16)=6,SUM(C16:H16),"")</x:f>
        <x:v>68</x:v>
      </x:c>
      <x:c r="J16" s="159" t="str">
        <x:f>IF(I16="","",IF(I16&gt;=90,"S+",IF(I16&gt;=80,"S",IF(I16&gt;=70,"A+",IF(I16&gt;=60,"A",IF(I16&gt;=50,"B+",IF(I16&gt;=40,"B",IF(I16&gt;=30,"C+",IF(I16&gt;=20,"C",IF(I16&gt;=10,"D+","D"))))))))))</x:f>
        <x:v>A</x:v>
      </x:c>
      <x:c r="K16" s="159" t="str">
        <x:v>미검증 승계·잠정</x:v>
      </x:c>
      <x:c r="L16" s="152" t="str">
        <x:v>구조점수 승계: 확인된 새 근거 없이 항목별 점수를 증감하지 않음. 최근 90일 검증된 가속도 근거 부족: 중립 가정 5점(실측 아님)</x:v>
      </x:c>
    </x:row>
    <x:row r="17" ht="94" customHeight="1">
      <x:c r="A17" s="157" t="n">
        <x:f>IF(I17="","",COUNTIF($I$5:$I$130,"&gt;"&amp;I17)+1)</x:f>
        <x:v>12</x:v>
      </x:c>
      <x:c r="B17" s="158" t="str">
        <x:v>ももいろクローバーZ</x:v>
      </x:c>
      <x:c r="C17" s="159" t="n">
        <x:v>17</x:v>
      </x:c>
      <x:c r="D17" s="159" t="n">
        <x:v>14</x:v>
      </x:c>
      <x:c r="E17" s="159" t="n">
        <x:v>18</x:v>
      </x:c>
      <x:c r="F17" s="159" t="n">
        <x:v>8</x:v>
      </x:c>
      <x:c r="G17" s="159" t="n">
        <x:v>5</x:v>
      </x:c>
      <x:c r="H17" s="159" t="n">
        <x:v>6</x:v>
      </x:c>
      <x:c r="I17" s="159" t="n">
        <x:f>IF(COUNT(C17:H17)=6,SUM(C17:H17),"")</x:f>
        <x:v>68</x:v>
      </x:c>
      <x:c r="J17" s="159" t="str">
        <x:f>IF(I17="","",IF(I17&gt;=90,"S+",IF(I17&gt;=80,"S",IF(I17&gt;=70,"A+",IF(I17&gt;=60,"A",IF(I17&gt;=50,"B+",IF(I17&gt;=40,"B",IF(I17&gt;=30,"C+",IF(I17&gt;=20,"C",IF(I17&gt;=10,"D+","D"))))))))))</x:f>
        <x:v>A</x:v>
      </x:c>
      <x:c r="K17" s="159" t="str">
        <x:v>미검증 승계·잠정</x:v>
      </x:c>
      <x:c r="L17" s="152" t="str">
        <x:v>구조점수 승계: 확인된 새 근거 없이 항목별 점수를 증감하지 않음. 최근 90일 검증된 가속도 근거 부족: 중립 가정 5점(실측 아님)</x:v>
      </x:c>
    </x:row>
    <x:row r="18" ht="94" customHeight="1">
      <x:c r="A18" s="157" t="n">
        <x:f>IF(I18="","",COUNTIF($I$5:$I$130,"&gt;"&amp;I18)+1)</x:f>
        <x:v>14</x:v>
      </x:c>
      <x:c r="B18" s="158" t="str">
        <x:v>≠ME</x:v>
      </x:c>
      <x:c r="C18" s="159" t="n">
        <x:v>17</x:v>
      </x:c>
      <x:c r="D18" s="159" t="n">
        <x:v>16</x:v>
      </x:c>
      <x:c r="E18" s="159" t="n">
        <x:v>13</x:v>
      </x:c>
      <x:c r="F18" s="159" t="n">
        <x:v>10</x:v>
      </x:c>
      <x:c r="G18" s="159" t="n">
        <x:v>5</x:v>
      </x:c>
      <x:c r="H18" s="159" t="n">
        <x:v>6</x:v>
      </x:c>
      <x:c r="I18" s="159" t="n">
        <x:f>IF(COUNT(C18:H18)=6,SUM(C18:H18),"")</x:f>
        <x:v>67</x:v>
      </x:c>
      <x:c r="J18" s="159" t="str">
        <x:f>IF(I18="","",IF(I18&gt;=90,"S+",IF(I18&gt;=80,"S",IF(I18&gt;=70,"A+",IF(I18&gt;=60,"A",IF(I18&gt;=50,"B+",IF(I18&gt;=40,"B",IF(I18&gt;=30,"C+",IF(I18&gt;=20,"C",IF(I18&gt;=10,"D+","D"))))))))))</x:f>
        <x:v>A</x:v>
      </x:c>
      <x:c r="K18" s="159" t="str">
        <x:v>미검증 승계·잠정</x:v>
      </x:c>
      <x:c r="L18" s="152" t="str">
        <x:v>구조점수 승계: 확인된 새 근거 없이 항목별 점수를 증감하지 않음. 최근 90일 검증된 가속도 근거 부족: 중립 가정 5점(실측 아님)</x:v>
      </x:c>
    </x:row>
    <x:row r="19" ht="94" customHeight="1">
      <x:c r="A19" s="157" t="n">
        <x:f>IF(I19="","",COUNTIF($I$5:$I$130,"&gt;"&amp;I19)+1)</x:f>
        <x:v>15</x:v>
      </x:c>
      <x:c r="B19" s="158" t="str">
        <x:v>CANDY TUNE</x:v>
      </x:c>
      <x:c r="C19" s="159" t="n">
        <x:v>15</x:v>
      </x:c>
      <x:c r="D19" s="159" t="n">
        <x:v>14</x:v>
      </x:c>
      <x:c r="E19" s="159" t="n">
        <x:v>13</x:v>
      </x:c>
      <x:c r="F19" s="159" t="n">
        <x:v>14</x:v>
      </x:c>
      <x:c r="G19" s="159" t="n">
        <x:v>5</x:v>
      </x:c>
      <x:c r="H19" s="159" t="n">
        <x:v>5</x:v>
      </x:c>
      <x:c r="I19" s="159" t="n">
        <x:f>IF(COUNT(C19:H19)=6,SUM(C19:H19),"")</x:f>
        <x:v>66</x:v>
      </x:c>
      <x:c r="J19" s="159" t="str">
        <x:f>IF(I19="","",IF(I19&gt;=90,"S+",IF(I19&gt;=80,"S",IF(I19&gt;=70,"A+",IF(I19&gt;=60,"A",IF(I19&gt;=50,"B+",IF(I19&gt;=40,"B",IF(I19&gt;=30,"C+",IF(I19&gt;=20,"C",IF(I19&gt;=10,"D+","D"))))))))))</x:f>
        <x:v>A</x:v>
      </x:c>
      <x:c r="K19" s="159" t="str">
        <x:v>미검증 승계·잠정</x:v>
      </x:c>
      <x:c r="L19" s="152" t="str">
        <x:v>구조점수 승계: 확인된 새 근거 없이 항목별 점수를 증감하지 않음. 최근 90일 검증된 가속도 근거 부족: 중립 가정 5점(실측 아님)</x:v>
      </x:c>
    </x:row>
    <x:row r="20" ht="94" customHeight="1">
      <x:c r="A20" s="157" t="n">
        <x:f>IF(I20="","",COUNTIF($I$5:$I$130,"&gt;"&amp;I20)+1)</x:f>
        <x:v>15</x:v>
      </x:c>
      <x:c r="B20" s="158" t="str">
        <x:v>いぎなり東北産</x:v>
      </x:c>
      <x:c r="C20" s="159" t="n">
        <x:v>19</x:v>
      </x:c>
      <x:c r="D20" s="159" t="n">
        <x:v>14</x:v>
      </x:c>
      <x:c r="E20" s="159" t="n">
        <x:v>13</x:v>
      </x:c>
      <x:c r="F20" s="159" t="n">
        <x:v>8</x:v>
      </x:c>
      <x:c r="G20" s="159" t="n">
        <x:v>5</x:v>
      </x:c>
      <x:c r="H20" s="159" t="n">
        <x:v>7</x:v>
      </x:c>
      <x:c r="I20" s="159" t="n">
        <x:f>IF(COUNT(C20:H20)=6,SUM(C20:H20),"")</x:f>
        <x:v>66</x:v>
      </x:c>
      <x:c r="J20" s="159" t="str">
        <x:f>IF(I20="","",IF(I20&gt;=90,"S+",IF(I20&gt;=80,"S",IF(I20&gt;=70,"A+",IF(I20&gt;=60,"A",IF(I20&gt;=50,"B+",IF(I20&gt;=40,"B",IF(I20&gt;=30,"C+",IF(I20&gt;=20,"C",IF(I20&gt;=10,"D+","D"))))))))))</x:f>
        <x:v>A</x:v>
      </x:c>
      <x:c r="K20" s="159" t="str">
        <x:v>미검증 승계·잠정</x:v>
      </x:c>
      <x:c r="L20" s="152" t="str">
        <x:v>구조점수 승계: 확인된 새 근거 없이 항목별 점수를 증감하지 않음. 최근 90일 검증된 가속도 근거 부족: 중립 가정 5점(실측 아님)</x:v>
      </x:c>
    </x:row>
    <x:row r="21" ht="94" customHeight="1">
      <x:c r="A21" s="157" t="n">
        <x:f>IF(I21="","",COUNTIF($I$5:$I$130,"&gt;"&amp;I21)+1)</x:f>
        <x:v>17</x:v>
      </x:c>
      <x:c r="B21" s="158" t="str">
        <x:v>iLiFE!</x:v>
      </x:c>
      <x:c r="C21" s="159" t="n">
        <x:v>18</x:v>
      </x:c>
      <x:c r="D21" s="159" t="n">
        <x:v>15</x:v>
      </x:c>
      <x:c r="E21" s="159" t="n">
        <x:v>10</x:v>
      </x:c>
      <x:c r="F21" s="159" t="n">
        <x:v>12</x:v>
      </x:c>
      <x:c r="G21" s="159" t="n">
        <x:v>5</x:v>
      </x:c>
      <x:c r="H21" s="159" t="n">
        <x:v>5</x:v>
      </x:c>
      <x:c r="I21" s="159" t="n">
        <x:f>IF(COUNT(C21:H21)=6,SUM(C21:H21),"")</x:f>
        <x:v>65</x:v>
      </x:c>
      <x:c r="J21" s="159" t="str">
        <x:f>IF(I21="","",IF(I21&gt;=90,"S+",IF(I21&gt;=80,"S",IF(I21&gt;=70,"A+",IF(I21&gt;=60,"A",IF(I21&gt;=50,"B+",IF(I21&gt;=40,"B",IF(I21&gt;=30,"C+",IF(I21&gt;=20,"C",IF(I21&gt;=10,"D+","D"))))))))))</x:f>
        <x:v>A</x:v>
      </x:c>
      <x:c r="K21" s="159" t="str">
        <x:v>부분확인·잠정</x:v>
      </x:c>
      <x:c r="L21" s="152" t="str">
        <x:v>구조점수 승계: 확인된 새 근거 없이 항목별 점수를 증감하지 않음. 최근 90일 검증된 가속도 근거 부족: 중립 가정 5점(실측 아님)</x:v>
      </x:c>
    </x:row>
    <x:row r="22" ht="94" customHeight="1">
      <x:c r="A22" s="157" t="n">
        <x:f>IF(I22="","",COUNTIF($I$5:$I$130,"&gt;"&amp;I22)+1)</x:f>
        <x:v>18</x:v>
      </x:c>
      <x:c r="B22" s="158" t="str">
        <x:v>Juice=Juice</x:v>
      </x:c>
      <x:c r="C22" s="159" t="n">
        <x:v>17</x:v>
      </x:c>
      <x:c r="D22" s="159" t="n">
        <x:v>15</x:v>
      </x:c>
      <x:c r="E22" s="159" t="n">
        <x:v>13</x:v>
      </x:c>
      <x:c r="F22" s="159" t="n">
        <x:v>8</x:v>
      </x:c>
      <x:c r="G22" s="159" t="n">
        <x:v>5</x:v>
      </x:c>
      <x:c r="H22" s="159" t="n">
        <x:v>6</x:v>
      </x:c>
      <x:c r="I22" s="159" t="n">
        <x:f>IF(COUNT(C22:H22)=6,SUM(C22:H22),"")</x:f>
        <x:v>64</x:v>
      </x:c>
      <x:c r="J22" s="159" t="str">
        <x:f>IF(I22="","",IF(I22&gt;=90,"S+",IF(I22&gt;=80,"S",IF(I22&gt;=70,"A+",IF(I22&gt;=60,"A",IF(I22&gt;=50,"B+",IF(I22&gt;=40,"B",IF(I22&gt;=30,"C+",IF(I22&gt;=20,"C",IF(I22&gt;=10,"D+","D"))))))))))</x:f>
        <x:v>A</x:v>
      </x:c>
      <x:c r="K22" s="159" t="str">
        <x:v>미검증 승계·잠정</x:v>
      </x:c>
      <x:c r="L22" s="152" t="str">
        <x:v>구조점수 승계: 확인된 새 근거 없이 항목별 점수를 증감하지 않음. 최근 90일 검증된 가속도 근거 부족: 중립 가정 5점(실측 아님)</x:v>
      </x:c>
    </x:row>
    <x:row r="23" ht="94" customHeight="1">
      <x:c r="A23" s="157" t="n">
        <x:f>IF(I23="","",COUNTIF($I$5:$I$130,"&gt;"&amp;I23)+1)</x:f>
        <x:v>19</x:v>
      </x:c>
      <x:c r="B23" s="158" t="str">
        <x:v>HANA</x:v>
      </x:c>
      <x:c r="C23" s="159" t="n">
        <x:v>15</x:v>
      </x:c>
      <x:c r="D23" s="159" t="n">
        <x:v>9</x:v>
      </x:c>
      <x:c r="E23" s="159" t="n">
        <x:v>17</x:v>
      </x:c>
      <x:c r="F23" s="159" t="n">
        <x:v>14</x:v>
      </x:c>
      <x:c r="G23" s="159" t="n">
        <x:v>5</x:v>
      </x:c>
      <x:c r="H23" s="159" t="n">
        <x:v>3</x:v>
      </x:c>
      <x:c r="I23" s="159" t="n">
        <x:f>IF(COUNT(C23:H23)=6,SUM(C23:H23),"")</x:f>
        <x:v>63</x:v>
      </x:c>
      <x:c r="J23" s="159" t="str">
        <x:f>IF(I23="","",IF(I23&gt;=90,"S+",IF(I23&gt;=80,"S",IF(I23&gt;=70,"A+",IF(I23&gt;=60,"A",IF(I23&gt;=50,"B+",IF(I23&gt;=40,"B",IF(I23&gt;=30,"C+",IF(I23&gt;=20,"C",IF(I23&gt;=10,"D+","D"))))))))))</x:f>
        <x:v>A</x:v>
      </x:c>
      <x:c r="K23" s="159" t="str">
        <x:v>부분확인·잠정</x:v>
      </x:c>
      <x:c r="L23" s="152" t="str">
        <x:v>구조점수 승계: 확인된 새 근거 없이 항목별 점수를 증감하지 않음. 최근 90일 검증된 가속도 근거 부족: 중립 가정 5점(실측 아님)</x:v>
      </x:c>
    </x:row>
    <x:row r="24" ht="94" customHeight="1">
      <x:c r="A24" s="157" t="n">
        <x:f>IF(I24="","",COUNTIF($I$5:$I$130,"&gt;"&amp;I24)+1)</x:f>
        <x:v>20</x:v>
      </x:c>
      <x:c r="B24" s="158" t="str">
        <x:v>HKT48</x:v>
      </x:c>
      <x:c r="C24" s="159" t="n">
        <x:v>14</x:v>
      </x:c>
      <x:c r="D24" s="159" t="n">
        <x:v>14</x:v>
      </x:c>
      <x:c r="E24" s="159" t="n">
        <x:v>14</x:v>
      </x:c>
      <x:c r="F24" s="159" t="n">
        <x:v>7</x:v>
      </x:c>
      <x:c r="G24" s="159" t="n">
        <x:v>5</x:v>
      </x:c>
      <x:c r="H24" s="159" t="n">
        <x:v>7</x:v>
      </x:c>
      <x:c r="I24" s="159" t="n">
        <x:f>IF(COUNT(C24:H24)=6,SUM(C24:H24),"")</x:f>
        <x:v>61</x:v>
      </x:c>
      <x:c r="J24" s="159" t="str">
        <x:f>IF(I24="","",IF(I24&gt;=90,"S+",IF(I24&gt;=80,"S",IF(I24&gt;=70,"A+",IF(I24&gt;=60,"A",IF(I24&gt;=50,"B+",IF(I24&gt;=40,"B",IF(I24&gt;=30,"C+",IF(I24&gt;=20,"C",IF(I24&gt;=10,"D+","D"))))))))))</x:f>
        <x:v>A</x:v>
      </x:c>
      <x:c r="K24" s="159" t="str">
        <x:v>미검증 승계·잠정</x:v>
      </x:c>
      <x:c r="L24" s="152" t="str">
        <x:v>구조점수 승계: 확인된 새 근거 없이 항목별 점수를 증감하지 않음. 최근 90일 검증된 가속도 근거 부족: 중립 가정 5점(실측 아님)</x:v>
      </x:c>
    </x:row>
    <x:row r="25" ht="94" customHeight="1">
      <x:c r="A25" s="157" t="n">
        <x:f>IF(I25="","",COUNTIF($I$5:$I$130,"&gt;"&amp;I25)+1)</x:f>
        <x:v>21</x:v>
      </x:c>
      <x:c r="B25" s="158" t="str">
        <x:v>≒JOY</x:v>
      </x:c>
      <x:c r="C25" s="159" t="n">
        <x:v>14</x:v>
      </x:c>
      <x:c r="D25" s="159" t="n">
        <x:v>14</x:v>
      </x:c>
      <x:c r="E25" s="159" t="n">
        <x:v>11</x:v>
      </x:c>
      <x:c r="F25" s="159" t="n">
        <x:v>10</x:v>
      </x:c>
      <x:c r="G25" s="159" t="n">
        <x:v>5</x:v>
      </x:c>
      <x:c r="H25" s="159" t="n">
        <x:v>6</x:v>
      </x:c>
      <x:c r="I25" s="159" t="n">
        <x:f>IF(COUNT(C25:H25)=6,SUM(C25:H25),"")</x:f>
        <x:v>60</x:v>
      </x:c>
      <x:c r="J25" s="159" t="str">
        <x:f>IF(I25="","",IF(I25&gt;=90,"S+",IF(I25&gt;=80,"S",IF(I25&gt;=70,"A+",IF(I25&gt;=60,"A",IF(I25&gt;=50,"B+",IF(I25&gt;=40,"B",IF(I25&gt;=30,"C+",IF(I25&gt;=20,"C",IF(I25&gt;=10,"D+","D"))))))))))</x:f>
        <x:v>A</x:v>
      </x:c>
      <x:c r="K25" s="159" t="str">
        <x:v>미검증 승계·잠정</x:v>
      </x:c>
      <x:c r="L25" s="152" t="str">
        <x:v>구조점수 승계: 확인된 새 근거 없이 항목별 점수를 증감하지 않음. 최근 90일 검증된 가속도 근거 부족: 중립 가정 5점(실측 아님)</x:v>
      </x:c>
    </x:row>
    <x:row r="26" ht="94" customHeight="1">
      <x:c r="A26" s="157" t="n">
        <x:f>IF(I26="","",COUNTIF($I$5:$I$130,"&gt;"&amp;I26)+1)</x:f>
        <x:v>22</x:v>
      </x:c>
      <x:c r="B26" s="158" t="str">
        <x:v>PassCode</x:v>
      </x:c>
      <x:c r="C26" s="159" t="n">
        <x:v>18</x:v>
      </x:c>
      <x:c r="D26" s="159" t="n">
        <x:v>12</x:v>
      </x:c>
      <x:c r="E26" s="159" t="n">
        <x:v>9</x:v>
      </x:c>
      <x:c r="F26" s="159" t="n">
        <x:v>9</x:v>
      </x:c>
      <x:c r="G26" s="159" t="n">
        <x:v>5</x:v>
      </x:c>
      <x:c r="H26" s="159" t="n">
        <x:v>6</x:v>
      </x:c>
      <x:c r="I26" s="159" t="n">
        <x:f>IF(COUNT(C26:H26)=6,SUM(C26:H26),"")</x:f>
        <x:v>59</x:v>
      </x:c>
      <x:c r="J26" s="159" t="str">
        <x:f>IF(I26="","",IF(I26&gt;=90,"S+",IF(I26&gt;=80,"S",IF(I26&gt;=70,"A+",IF(I26&gt;=60,"A",IF(I26&gt;=50,"B+",IF(I26&gt;=40,"B",IF(I26&gt;=30,"C+",IF(I26&gt;=20,"C",IF(I26&gt;=10,"D+","D"))))))))))</x:f>
        <x:v>B+</x:v>
      </x:c>
      <x:c r="K26" s="159" t="str">
        <x:v>미검증 승계·잠정</x:v>
      </x:c>
      <x:c r="L26" s="152" t="str">
        <x:v>구조점수 승계: 확인된 새 근거 없이 항목별 점수를 증감하지 않음. 최근 90일 검증된 가속도 근거 부족: 중립 가정 5점(실측 아님)</x:v>
      </x:c>
    </x:row>
    <x:row r="27" ht="94" customHeight="1">
      <x:c r="A27" s="157" t="n">
        <x:f>IF(I27="","",COUNTIF($I$5:$I$130,"&gt;"&amp;I27)+1)</x:f>
        <x:v>22</x:v>
      </x:c>
      <x:c r="B27" s="158" t="str">
        <x:v>アンジュルム</x:v>
      </x:c>
      <x:c r="C27" s="159" t="n">
        <x:v>15</x:v>
      </x:c>
      <x:c r="D27" s="159" t="n">
        <x:v>14</x:v>
      </x:c>
      <x:c r="E27" s="159" t="n">
        <x:v>12</x:v>
      </x:c>
      <x:c r="F27" s="159" t="n">
        <x:v>7</x:v>
      </x:c>
      <x:c r="G27" s="159" t="n">
        <x:v>5</x:v>
      </x:c>
      <x:c r="H27" s="159" t="n">
        <x:v>6</x:v>
      </x:c>
      <x:c r="I27" s="159" t="n">
        <x:f>IF(COUNT(C27:H27)=6,SUM(C27:H27),"")</x:f>
        <x:v>59</x:v>
      </x:c>
      <x:c r="J27" s="159" t="str">
        <x:f>IF(I27="","",IF(I27&gt;=90,"S+",IF(I27&gt;=80,"S",IF(I27&gt;=70,"A+",IF(I27&gt;=60,"A",IF(I27&gt;=50,"B+",IF(I27&gt;=40,"B",IF(I27&gt;=30,"C+",IF(I27&gt;=20,"C",IF(I27&gt;=10,"D+","D"))))))))))</x:f>
        <x:v>B+</x:v>
      </x:c>
      <x:c r="K27" s="159" t="str">
        <x:v>미검증 승계·잠정</x:v>
      </x:c>
      <x:c r="L27" s="152" t="str">
        <x:v>구조점수 승계: 확인된 새 근거 없이 항목별 점수를 증감하지 않음. 최근 90일 검증된 가속도 근거 부족: 중립 가정 5점(실측 아님)</x:v>
      </x:c>
    </x:row>
    <x:row r="28" ht="94" customHeight="1">
      <x:c r="A28" s="157" t="n">
        <x:f>IF(I28="","",COUNTIF($I$5:$I$130,"&gt;"&amp;I28)+1)</x:f>
        <x:v>24</x:v>
      </x:c>
      <x:c r="B28" s="158" t="str">
        <x:v>高嶺のなでしこ</x:v>
      </x:c>
      <x:c r="C28" s="159" t="n">
        <x:v>13</x:v>
      </x:c>
      <x:c r="D28" s="159" t="n">
        <x:v>12</x:v>
      </x:c>
      <x:c r="E28" s="159" t="n">
        <x:v>11</x:v>
      </x:c>
      <x:c r="F28" s="159" t="n">
        <x:v>11</x:v>
      </x:c>
      <x:c r="G28" s="159" t="n">
        <x:v>5</x:v>
      </x:c>
      <x:c r="H28" s="159" t="n">
        <x:v>6</x:v>
      </x:c>
      <x:c r="I28" s="159" t="n">
        <x:f>IF(COUNT(C28:H28)=6,SUM(C28:H28),"")</x:f>
        <x:v>58</x:v>
      </x:c>
      <x:c r="J28" s="159" t="str">
        <x:f>IF(I28="","",IF(I28&gt;=90,"S+",IF(I28&gt;=80,"S",IF(I28&gt;=70,"A+",IF(I28&gt;=60,"A",IF(I28&gt;=50,"B+",IF(I28&gt;=40,"B",IF(I28&gt;=30,"C+",IF(I28&gt;=20,"C",IF(I28&gt;=10,"D+","D"))))))))))</x:f>
        <x:v>B+</x:v>
      </x:c>
      <x:c r="K28" s="159" t="str">
        <x:v>미검증 승계·잠정</x:v>
      </x:c>
      <x:c r="L28" s="152" t="str">
        <x:v>구조점수 승계: 확인된 새 근거 없이 항목별 점수를 증감하지 않음. 최근 90일 검증된 가속도 근거 부족: 중립 가정 5점(실측 아님)</x:v>
      </x:c>
    </x:row>
    <x:row r="29" ht="94" customHeight="1">
      <x:c r="A29" s="157" t="n">
        <x:f>IF(I29="","",COUNTIF($I$5:$I$130,"&gt;"&amp;I29)+1)</x:f>
        <x:v>25</x:v>
      </x:c>
      <x:c r="B29" s="158" t="str">
        <x:v>SKE48</x:v>
      </x:c>
      <x:c r="C29" s="159" t="n">
        <x:v>13</x:v>
      </x:c>
      <x:c r="D29" s="159" t="n">
        <x:v>15</x:v>
      </x:c>
      <x:c r="E29" s="159" t="n">
        <x:v>11</x:v>
      </x:c>
      <x:c r="F29" s="159" t="n">
        <x:v>6</x:v>
      </x:c>
      <x:c r="G29" s="159" t="n">
        <x:v>5</x:v>
      </x:c>
      <x:c r="H29" s="159" t="n">
        <x:v>6</x:v>
      </x:c>
      <x:c r="I29" s="159" t="n">
        <x:f>IF(COUNT(C29:H29)=6,SUM(C29:H29),"")</x:f>
        <x:v>56</x:v>
      </x:c>
      <x:c r="J29" s="159" t="str">
        <x:f>IF(I29="","",IF(I29&gt;=90,"S+",IF(I29&gt;=80,"S",IF(I29&gt;=70,"A+",IF(I29&gt;=60,"A",IF(I29&gt;=50,"B+",IF(I29&gt;=40,"B",IF(I29&gt;=30,"C+",IF(I29&gt;=20,"C",IF(I29&gt;=10,"D+","D"))))))))))</x:f>
        <x:v>B+</x:v>
      </x:c>
      <x:c r="K29" s="159" t="str">
        <x:v>미검증 승계·잠정</x:v>
      </x:c>
      <x:c r="L29" s="152" t="str">
        <x:v>구조점수 승계: 확인된 새 근거 없이 항목별 점수를 증감하지 않음. 최근 90일 검증된 가속도 근거 부족: 중립 가정 5점(실측 아님)</x:v>
      </x:c>
    </x:row>
    <x:row r="30" ht="94" customHeight="1">
      <x:c r="A30" s="157" t="n">
        <x:f>IF(I30="","",COUNTIF($I$5:$I$130,"&gt;"&amp;I30)+1)</x:f>
        <x:v>26</x:v>
      </x:c>
      <x:c r="B30" s="158" t="str">
        <x:v>WHITE SCORPION</x:v>
      </x:c>
      <x:c r="C30" s="159" t="n">
        <x:v>15</x:v>
      </x:c>
      <x:c r="D30" s="159" t="n">
        <x:v>11</x:v>
      </x:c>
      <x:c r="E30" s="159" t="n">
        <x:v>8</x:v>
      </x:c>
      <x:c r="F30" s="159" t="n">
        <x:v>9</x:v>
      </x:c>
      <x:c r="G30" s="159" t="n">
        <x:v>5</x:v>
      </x:c>
      <x:c r="H30" s="159" t="n">
        <x:v>7</x:v>
      </x:c>
      <x:c r="I30" s="159" t="n">
        <x:f>IF(COUNT(C30:H30)=6,SUM(C30:H30),"")</x:f>
        <x:v>55</x:v>
      </x:c>
      <x:c r="J30" s="159" t="str">
        <x:f>IF(I30="","",IF(I30&gt;=90,"S+",IF(I30&gt;=80,"S",IF(I30&gt;=70,"A+",IF(I30&gt;=60,"A",IF(I30&gt;=50,"B+",IF(I30&gt;=40,"B",IF(I30&gt;=30,"C+",IF(I30&gt;=20,"C",IF(I30&gt;=10,"D+","D"))))))))))</x:f>
        <x:v>B+</x:v>
      </x:c>
      <x:c r="K30" s="159" t="str">
        <x:v>미검증 승계·잠정</x:v>
      </x:c>
      <x:c r="L30" s="152" t="str">
        <x:v>구조점수 승계: 확인된 새 근거 없이 항목별 점수를 증감하지 않음. 최근 90일 검증된 가속도 근거 부족: 중립 가정 5점(실측 아님)</x:v>
      </x:c>
    </x:row>
    <x:row r="31" ht="94" customHeight="1">
      <x:c r="A31" s="157" t="n">
        <x:f>IF(I31="","",COUNTIF($I$5:$I$130,"&gt;"&amp;I31)+1)</x:f>
        <x:v>26</x:v>
      </x:c>
      <x:c r="B31" s="158" t="str">
        <x:v>私立恵比寿中学</x:v>
      </x:c>
      <x:c r="C31" s="159" t="n">
        <x:v>14</x:v>
      </x:c>
      <x:c r="D31" s="159" t="n">
        <x:v>12</x:v>
      </x:c>
      <x:c r="E31" s="159" t="n">
        <x:v>11</x:v>
      </x:c>
      <x:c r="F31" s="159" t="n">
        <x:v>7</x:v>
      </x:c>
      <x:c r="G31" s="159" t="n">
        <x:v>5</x:v>
      </x:c>
      <x:c r="H31" s="159" t="n">
        <x:v>6</x:v>
      </x:c>
      <x:c r="I31" s="159" t="n">
        <x:f>IF(COUNT(C31:H31)=6,SUM(C31:H31),"")</x:f>
        <x:v>55</x:v>
      </x:c>
      <x:c r="J31" s="159" t="str">
        <x:f>IF(I31="","",IF(I31&gt;=90,"S+",IF(I31&gt;=80,"S",IF(I31&gt;=70,"A+",IF(I31&gt;=60,"A",IF(I31&gt;=50,"B+",IF(I31&gt;=40,"B",IF(I31&gt;=30,"C+",IF(I31&gt;=20,"C",IF(I31&gt;=10,"D+","D"))))))))))</x:f>
        <x:v>B+</x:v>
      </x:c>
      <x:c r="K31" s="159" t="str">
        <x:v>미검증 승계·잠정</x:v>
      </x:c>
      <x:c r="L31" s="152" t="str">
        <x:v>구조점수 승계: 확인된 새 근거 없이 항목별 점수를 증감하지 않음. 최근 90일 검증된 가속도 근거 부족: 중립 가정 5점(실측 아님)</x:v>
      </x:c>
    </x:row>
    <x:row r="32" ht="94" customHeight="1">
      <x:c r="A32" s="157" t="n">
        <x:f>IF(I32="","",COUNTIF($I$5:$I$130,"&gt;"&amp;I32)+1)</x:f>
        <x:v>28</x:v>
      </x:c>
      <x:c r="B32" s="158" t="str">
        <x:v>SWEET STEADY</x:v>
      </x:c>
      <x:c r="C32" s="159" t="n">
        <x:v>12</x:v>
      </x:c>
      <x:c r="D32" s="159" t="n">
        <x:v>11</x:v>
      </x:c>
      <x:c r="E32" s="159" t="n">
        <x:v>10</x:v>
      </x:c>
      <x:c r="F32" s="159" t="n">
        <x:v>11</x:v>
      </x:c>
      <x:c r="G32" s="159" t="n">
        <x:v>5</x:v>
      </x:c>
      <x:c r="H32" s="159" t="n">
        <x:v>5</x:v>
      </x:c>
      <x:c r="I32" s="159" t="n">
        <x:f>IF(COUNT(C32:H32)=6,SUM(C32:H32),"")</x:f>
        <x:v>54</x:v>
      </x:c>
      <x:c r="J32" s="159" t="str">
        <x:f>IF(I32="","",IF(I32&gt;=90,"S+",IF(I32&gt;=80,"S",IF(I32&gt;=70,"A+",IF(I32&gt;=60,"A",IF(I32&gt;=50,"B+",IF(I32&gt;=40,"B",IF(I32&gt;=30,"C+",IF(I32&gt;=20,"C",IF(I32&gt;=10,"D+","D"))))))))))</x:f>
        <x:v>B+</x:v>
      </x:c>
      <x:c r="K32" s="159" t="str">
        <x:v>미검증 승계·잠정</x:v>
      </x:c>
      <x:c r="L32" s="152" t="str">
        <x:v>구조점수 승계: 확인된 새 근거 없이 항목별 점수를 증감하지 않음. 최근 90일 검증된 가속도 근거 부족: 중립 가정 5점(실측 아님)</x:v>
      </x:c>
    </x:row>
    <x:row r="33" ht="94" customHeight="1">
      <x:c r="A33" s="157" t="n">
        <x:f>IF(I33="","",COUNTIF($I$5:$I$130,"&gt;"&amp;I33)+1)</x:f>
        <x:v>28</x:v>
      </x:c>
      <x:c r="B33" s="158" t="str">
        <x:v>ファントムシータ</x:v>
      </x:c>
      <x:c r="C33" s="159" t="n">
        <x:v>11</x:v>
      </x:c>
      <x:c r="D33" s="159" t="n">
        <x:v>9</x:v>
      </x:c>
      <x:c r="E33" s="159" t="n">
        <x:v>9</x:v>
      </x:c>
      <x:c r="F33" s="159" t="n">
        <x:v>14</x:v>
      </x:c>
      <x:c r="G33" s="159" t="n">
        <x:v>5</x:v>
      </x:c>
      <x:c r="H33" s="159" t="n">
        <x:v>6</x:v>
      </x:c>
      <x:c r="I33" s="159" t="n">
        <x:f>IF(COUNT(C33:H33)=6,SUM(C33:H33),"")</x:f>
        <x:v>54</x:v>
      </x:c>
      <x:c r="J33" s="159" t="str">
        <x:f>IF(I33="","",IF(I33&gt;=90,"S+",IF(I33&gt;=80,"S",IF(I33&gt;=70,"A+",IF(I33&gt;=60,"A",IF(I33&gt;=50,"B+",IF(I33&gt;=40,"B",IF(I33&gt;=30,"C+",IF(I33&gt;=20,"C",IF(I33&gt;=10,"D+","D"))))))))))</x:f>
        <x:v>B+</x:v>
      </x:c>
      <x:c r="K33" s="159" t="str">
        <x:v>미검증 승계·잠정</x:v>
      </x:c>
      <x:c r="L33" s="152" t="str">
        <x:v>구조점수 승계: 확인된 새 근거 없이 항목별 점수를 증감하지 않음. 최근 90일 검증된 가속도 근거 부족: 중립 가정 5점(실측 아님)</x:v>
      </x:c>
    </x:row>
    <x:row r="34" ht="94" customHeight="1">
      <x:c r="A34" s="157" t="n">
        <x:f>IF(I34="","",COUNTIF($I$5:$I$130,"&gt;"&amp;I34)+1)</x:f>
        <x:v>28</x:v>
      </x:c>
      <x:c r="B34" s="158" t="str">
        <x:v>わーすた</x:v>
      </x:c>
      <x:c r="C34" s="159" t="n">
        <x:v>14</x:v>
      </x:c>
      <x:c r="D34" s="159" t="n">
        <x:v>11</x:v>
      </x:c>
      <x:c r="E34" s="159" t="n">
        <x:v>10</x:v>
      </x:c>
      <x:c r="F34" s="159" t="n">
        <x:v>8</x:v>
      </x:c>
      <x:c r="G34" s="159" t="n">
        <x:v>5</x:v>
      </x:c>
      <x:c r="H34" s="159" t="n">
        <x:v>6</x:v>
      </x:c>
      <x:c r="I34" s="159" t="n">
        <x:f>IF(COUNT(C34:H34)=6,SUM(C34:H34),"")</x:f>
        <x:v>54</x:v>
      </x:c>
      <x:c r="J34" s="159" t="str">
        <x:f>IF(I34="","",IF(I34&gt;=90,"S+",IF(I34&gt;=80,"S",IF(I34&gt;=70,"A+",IF(I34&gt;=60,"A",IF(I34&gt;=50,"B+",IF(I34&gt;=40,"B",IF(I34&gt;=30,"C+",IF(I34&gt;=20,"C",IF(I34&gt;=10,"D+","D"))))))))))</x:f>
        <x:v>B+</x:v>
      </x:c>
      <x:c r="K34" s="159" t="str">
        <x:v>미검증 승계·잠정</x:v>
      </x:c>
      <x:c r="L34" s="152" t="str">
        <x:v>구조점수 승계: 확인된 새 근거 없이 항목별 점수를 증감하지 않음. 최근 90일 검증된 가속도 근거 부족: 중립 가정 5점(실측 아님)</x:v>
      </x:c>
    </x:row>
    <x:row r="35" ht="94" customHeight="1">
      <x:c r="A35" s="157" t="n">
        <x:f>IF(I35="","",COUNTIF($I$5:$I$130,"&gt;"&amp;I35)+1)</x:f>
        <x:v>31</x:v>
      </x:c>
      <x:c r="B35" s="158" t="str">
        <x:v>つばきファクトリー</x:v>
      </x:c>
      <x:c r="C35" s="159" t="n">
        <x:v>13</x:v>
      </x:c>
      <x:c r="D35" s="159" t="n">
        <x:v>13</x:v>
      </x:c>
      <x:c r="E35" s="159" t="n">
        <x:v>9</x:v>
      </x:c>
      <x:c r="F35" s="159" t="n">
        <x:v>6</x:v>
      </x:c>
      <x:c r="G35" s="159" t="n">
        <x:v>5</x:v>
      </x:c>
      <x:c r="H35" s="159" t="n">
        <x:v>7</x:v>
      </x:c>
      <x:c r="I35" s="159" t="n">
        <x:f>IF(COUNT(C35:H35)=6,SUM(C35:H35),"")</x:f>
        <x:v>53</x:v>
      </x:c>
      <x:c r="J35" s="159" t="str">
        <x:f>IF(I35="","",IF(I35&gt;=90,"S+",IF(I35&gt;=80,"S",IF(I35&gt;=70,"A+",IF(I35&gt;=60,"A",IF(I35&gt;=50,"B+",IF(I35&gt;=40,"B",IF(I35&gt;=30,"C+",IF(I35&gt;=20,"C",IF(I35&gt;=10,"D+","D"))))))))))</x:f>
        <x:v>B+</x:v>
      </x:c>
      <x:c r="K35" s="159" t="str">
        <x:v>미검증 승계·잠정</x:v>
      </x:c>
      <x:c r="L35" s="152" t="str">
        <x:v>구조점수 승계: 확인된 새 근거 없이 항목별 점수를 증감하지 않음. 최근 90일 검증된 가속도 근거 부족: 중립 가정 5점(실측 아님)</x:v>
      </x:c>
    </x:row>
    <x:row r="36" ht="94" customHeight="1">
      <x:c r="A36" s="157" t="n">
        <x:f>IF(I36="","",COUNTIF($I$5:$I$130,"&gt;"&amp;I36)+1)</x:f>
        <x:v>32</x:v>
      </x:c>
      <x:c r="B36" s="158" t="str">
        <x:v>NMB48</x:v>
      </x:c>
      <x:c r="C36" s="159" t="n">
        <x:v>13</x:v>
      </x:c>
      <x:c r="D36" s="159" t="n">
        <x:v>13</x:v>
      </x:c>
      <x:c r="E36" s="159" t="n">
        <x:v>10</x:v>
      </x:c>
      <x:c r="F36" s="159" t="n">
        <x:v>5</x:v>
      </x:c>
      <x:c r="G36" s="159" t="n">
        <x:v>5</x:v>
      </x:c>
      <x:c r="H36" s="159" t="n">
        <x:v>6</x:v>
      </x:c>
      <x:c r="I36" s="159" t="n">
        <x:f>IF(COUNT(C36:H36)=6,SUM(C36:H36),"")</x:f>
        <x:v>52</x:v>
      </x:c>
      <x:c r="J36" s="159" t="str">
        <x:f>IF(I36="","",IF(I36&gt;=90,"S+",IF(I36&gt;=80,"S",IF(I36&gt;=70,"A+",IF(I36&gt;=60,"A",IF(I36&gt;=50,"B+",IF(I36&gt;=40,"B",IF(I36&gt;=30,"C+",IF(I36&gt;=20,"C",IF(I36&gt;=10,"D+","D"))))))))))</x:f>
        <x:v>B+</x:v>
      </x:c>
      <x:c r="K36" s="159" t="str">
        <x:v>미검증 승계·잠정</x:v>
      </x:c>
      <x:c r="L36" s="152" t="str">
        <x:v>구조점수 승계: 확인된 새 근거 없이 항목별 점수를 증감하지 않음. 최근 90일 검증된 가속도 근거 부족: 중립 가정 5점(실측 아님)</x:v>
      </x:c>
    </x:row>
    <x:row r="37" ht="94" customHeight="1">
      <x:c r="A37" s="157" t="n">
        <x:f>IF(I37="","",COUNTIF($I$5:$I$130,"&gt;"&amp;I37)+1)</x:f>
        <x:v>33</x:v>
      </x:c>
      <x:c r="B37" s="158" t="str">
        <x:v>Girls²</x:v>
      </x:c>
      <x:c r="C37" s="159" t="n">
        <x:v>11</x:v>
      </x:c>
      <x:c r="D37" s="159" t="n">
        <x:v>10</x:v>
      </x:c>
      <x:c r="E37" s="159" t="n">
        <x:v>9</x:v>
      </x:c>
      <x:c r="F37" s="159" t="n">
        <x:v>10</x:v>
      </x:c>
      <x:c r="G37" s="159" t="n">
        <x:v>5</x:v>
      </x:c>
      <x:c r="H37" s="159" t="n">
        <x:v>6</x:v>
      </x:c>
      <x:c r="I37" s="159" t="n">
        <x:f>IF(COUNT(C37:H37)=6,SUM(C37:H37),"")</x:f>
        <x:v>51</x:v>
      </x:c>
      <x:c r="J37" s="159" t="str">
        <x:f>IF(I37="","",IF(I37&gt;=90,"S+",IF(I37&gt;=80,"S",IF(I37&gt;=70,"A+",IF(I37&gt;=60,"A",IF(I37&gt;=50,"B+",IF(I37&gt;=40,"B",IF(I37&gt;=30,"C+",IF(I37&gt;=20,"C",IF(I37&gt;=10,"D+","D"))))))))))</x:f>
        <x:v>B+</x:v>
      </x:c>
      <x:c r="K37" s="159" t="str">
        <x:v>미검증 승계·잠정</x:v>
      </x:c>
      <x:c r="L37" s="152" t="str">
        <x:v>구조점수 승계: 확인된 새 근거 없이 항목별 점수를 증감하지 않음. 최근 90일 검증된 가속도 근거 부족: 중립 가정 5점(실측 아님)</x:v>
      </x:c>
    </x:row>
    <x:row r="38" ht="94" customHeight="1">
      <x:c r="A38" s="157" t="n">
        <x:f>IF(I38="","",COUNTIF($I$5:$I$130,"&gt;"&amp;I38)+1)</x:f>
        <x:v>33</x:v>
      </x:c>
      <x:c r="B38" s="158" t="str">
        <x:v>Merry BAD TUNE.</x:v>
      </x:c>
      <x:c r="C38" s="159" t="n">
        <x:v>15</x:v>
      </x:c>
      <x:c r="D38" s="159" t="n">
        <x:v>11</x:v>
      </x:c>
      <x:c r="E38" s="159" t="n">
        <x:v>7</x:v>
      </x:c>
      <x:c r="F38" s="159" t="n">
        <x:v>8</x:v>
      </x:c>
      <x:c r="G38" s="159" t="n">
        <x:v>5</x:v>
      </x:c>
      <x:c r="H38" s="159" t="n">
        <x:v>5</x:v>
      </x:c>
      <x:c r="I38" s="159" t="n">
        <x:f>IF(COUNT(C38:H38)=6,SUM(C38:H38),"")</x:f>
        <x:v>51</x:v>
      </x:c>
      <x:c r="J38" s="159" t="str">
        <x:f>IF(I38="","",IF(I38&gt;=90,"S+",IF(I38&gt;=80,"S",IF(I38&gt;=70,"A+",IF(I38&gt;=60,"A",IF(I38&gt;=50,"B+",IF(I38&gt;=40,"B",IF(I38&gt;=30,"C+",IF(I38&gt;=20,"C",IF(I38&gt;=10,"D+","D"))))))))))</x:f>
        <x:v>B+</x:v>
      </x:c>
      <x:c r="K38" s="159" t="str">
        <x:v>미검증 승계·잠정</x:v>
      </x:c>
      <x:c r="L38" s="152" t="str">
        <x:v>구조점수 승계: 확인된 새 근거 없이 항목별 점수를 증감하지 않음. 최근 90일 검증된 가속도 근거 부족: 중립 가정 5점(실측 아님)</x:v>
      </x:c>
    </x:row>
    <x:row r="39" ht="94" customHeight="1">
      <x:c r="A39" s="157" t="n">
        <x:f>IF(I39="","",COUNTIF($I$5:$I$130,"&gt;"&amp;I39)+1)</x:f>
        <x:v>33</x:v>
      </x:c>
      <x:c r="B39" s="158" t="str">
        <x:v>NGT48</x:v>
      </x:c>
      <x:c r="C39" s="159" t="n">
        <x:v>12</x:v>
      </x:c>
      <x:c r="D39" s="159" t="n">
        <x:v>12</x:v>
      </x:c>
      <x:c r="E39" s="159" t="n">
        <x:v>11</x:v>
      </x:c>
      <x:c r="F39" s="159" t="n">
        <x:v>5</x:v>
      </x:c>
      <x:c r="G39" s="159" t="n">
        <x:v>5</x:v>
      </x:c>
      <x:c r="H39" s="159" t="n">
        <x:v>6</x:v>
      </x:c>
      <x:c r="I39" s="159" t="n">
        <x:f>IF(COUNT(C39:H39)=6,SUM(C39:H39),"")</x:f>
        <x:v>51</x:v>
      </x:c>
      <x:c r="J39" s="159" t="str">
        <x:f>IF(I39="","",IF(I39&gt;=90,"S+",IF(I39&gt;=80,"S",IF(I39&gt;=70,"A+",IF(I39&gt;=60,"A",IF(I39&gt;=50,"B+",IF(I39&gt;=40,"B",IF(I39&gt;=30,"C+",IF(I39&gt;=20,"C",IF(I39&gt;=10,"D+","D"))))))))))</x:f>
        <x:v>B+</x:v>
      </x:c>
      <x:c r="K39" s="159" t="str">
        <x:v>미검증 승계·잠정</x:v>
      </x:c>
      <x:c r="L39" s="152" t="str">
        <x:v>구조점수 승계: 확인된 새 근거 없이 항목별 점수를 증감하지 않음. 최근 90일 검증된 가속도 근거 부족: 중립 가정 5점(실측 아님)</x:v>
      </x:c>
    </x:row>
    <x:row r="40" ht="94" customHeight="1">
      <x:c r="A40" s="157" t="n">
        <x:f>IF(I40="","",COUNTIF($I$5:$I$130,"&gt;"&amp;I40)+1)</x:f>
        <x:v>33</x:v>
      </x:c>
      <x:c r="B40" s="158" t="str">
        <x:v>OCHA NORMA</x:v>
      </x:c>
      <x:c r="C40" s="159" t="n">
        <x:v>12</x:v>
      </x:c>
      <x:c r="D40" s="159" t="n">
        <x:v>12</x:v>
      </x:c>
      <x:c r="E40" s="159" t="n">
        <x:v>9</x:v>
      </x:c>
      <x:c r="F40" s="159" t="n">
        <x:v>6</x:v>
      </x:c>
      <x:c r="G40" s="159" t="n">
        <x:v>5</x:v>
      </x:c>
      <x:c r="H40" s="159" t="n">
        <x:v>7</x:v>
      </x:c>
      <x:c r="I40" s="159" t="n">
        <x:f>IF(COUNT(C40:H40)=6,SUM(C40:H40),"")</x:f>
        <x:v>51</x:v>
      </x:c>
      <x:c r="J40" s="159" t="str">
        <x:f>IF(I40="","",IF(I40&gt;=90,"S+",IF(I40&gt;=80,"S",IF(I40&gt;=70,"A+",IF(I40&gt;=60,"A",IF(I40&gt;=50,"B+",IF(I40&gt;=40,"B",IF(I40&gt;=30,"C+",IF(I40&gt;=20,"C",IF(I40&gt;=10,"D+","D"))))))))))</x:f>
        <x:v>B+</x:v>
      </x:c>
      <x:c r="K40" s="159" t="str">
        <x:v>미검증 승계·잠정</x:v>
      </x:c>
      <x:c r="L40" s="152" t="str">
        <x:v>구조점수 승계: 확인된 새 근거 없이 항목별 점수를 증감하지 않음. 최근 90일 검증된 가속도 근거 부족: 중립 가정 5점(실측 아님)</x:v>
      </x:c>
    </x:row>
    <x:row r="41" ht="94" customHeight="1">
      <x:c r="A41" s="157" t="n">
        <x:f>IF(I41="","",COUNTIF($I$5:$I$130,"&gt;"&amp;I41)+1)</x:f>
        <x:v>37</x:v>
      </x:c>
      <x:c r="B41" s="158" t="str">
        <x:v>Devil ANTHEM.</x:v>
      </x:c>
      <x:c r="C41" s="159" t="n">
        <x:v>15</x:v>
      </x:c>
      <x:c r="D41" s="159" t="n">
        <x:v>11</x:v>
      </x:c>
      <x:c r="E41" s="159" t="n">
        <x:v>7</x:v>
      </x:c>
      <x:c r="F41" s="159" t="n">
        <x:v>7</x:v>
      </x:c>
      <x:c r="G41" s="159" t="n">
        <x:v>5</x:v>
      </x:c>
      <x:c r="H41" s="159" t="n">
        <x:v>5</x:v>
      </x:c>
      <x:c r="I41" s="159" t="n">
        <x:f>IF(COUNT(C41:H41)=6,SUM(C41:H41),"")</x:f>
        <x:v>50</x:v>
      </x:c>
      <x:c r="J41" s="159" t="str">
        <x:f>IF(I41="","",IF(I41&gt;=90,"S+",IF(I41&gt;=80,"S",IF(I41&gt;=70,"A+",IF(I41&gt;=60,"A",IF(I41&gt;=50,"B+",IF(I41&gt;=40,"B",IF(I41&gt;=30,"C+",IF(I41&gt;=20,"C",IF(I41&gt;=10,"D+","D"))))))))))</x:f>
        <x:v>B+</x:v>
      </x:c>
      <x:c r="K41" s="159" t="str">
        <x:v>미검증 승계·잠정</x:v>
      </x:c>
      <x:c r="L41" s="152" t="str">
        <x:v>구조점수 승계: 확인된 새 근거 없이 항목별 점수를 증감하지 않음. 최근 90일 검증된 가속도 근거 부족: 중립 가정 5점(실측 아님)</x:v>
      </x:c>
    </x:row>
    <x:row r="42" ht="94" customHeight="1">
      <x:c r="A42" s="157" t="n">
        <x:f>IF(I42="","",COUNTIF($I$5:$I$130,"&gt;"&amp;I42)+1)</x:f>
        <x:v>37</x:v>
      </x:c>
      <x:c r="B42" s="158" t="str">
        <x:v>INUWASI</x:v>
      </x:c>
      <x:c r="C42" s="159" t="n">
        <x:v>16</x:v>
      </x:c>
      <x:c r="D42" s="159" t="n">
        <x:v>11</x:v>
      </x:c>
      <x:c r="E42" s="159" t="n">
        <x:v>6</x:v>
      </x:c>
      <x:c r="F42" s="159" t="n">
        <x:v>7</x:v>
      </x:c>
      <x:c r="G42" s="159" t="n">
        <x:v>5</x:v>
      </x:c>
      <x:c r="H42" s="159" t="n">
        <x:v>5</x:v>
      </x:c>
      <x:c r="I42" s="159" t="n">
        <x:f>IF(COUNT(C42:H42)=6,SUM(C42:H42),"")</x:f>
        <x:v>50</x:v>
      </x:c>
      <x:c r="J42" s="159" t="str">
        <x:f>IF(I42="","",IF(I42&gt;=90,"S+",IF(I42&gt;=80,"S",IF(I42&gt;=70,"A+",IF(I42&gt;=60,"A",IF(I42&gt;=50,"B+",IF(I42&gt;=40,"B",IF(I42&gt;=30,"C+",IF(I42&gt;=20,"C",IF(I42&gt;=10,"D+","D"))))))))))</x:f>
        <x:v>B+</x:v>
      </x:c>
      <x:c r="K42" s="159" t="str">
        <x:v>미검증 승계·잠정</x:v>
      </x:c>
      <x:c r="L42" s="152" t="str">
        <x:v>구조점수 승계: 확인된 새 근거 없이 항목별 점수를 증감하지 않음. 최근 90일 검증된 가속도 근거 부족: 중립 가정 5점(실측 아님)</x:v>
      </x:c>
    </x:row>
    <x:row r="43" ht="94" customHeight="1">
      <x:c r="A43" s="157" t="n">
        <x:f>IF(I43="","",COUNTIF($I$5:$I$130,"&gt;"&amp;I43)+1)</x:f>
        <x:v>37</x:v>
      </x:c>
      <x:c r="B43" s="158" t="str">
        <x:v>虹のコンキスタドール</x:v>
      </x:c>
      <x:c r="C43" s="159" t="n">
        <x:v>12</x:v>
      </x:c>
      <x:c r="D43" s="159" t="n">
        <x:v>10</x:v>
      </x:c>
      <x:c r="E43" s="159" t="n">
        <x:v>9</x:v>
      </x:c>
      <x:c r="F43" s="159" t="n">
        <x:v>8</x:v>
      </x:c>
      <x:c r="G43" s="159" t="n">
        <x:v>5</x:v>
      </x:c>
      <x:c r="H43" s="159" t="n">
        <x:v>6</x:v>
      </x:c>
      <x:c r="I43" s="159" t="n">
        <x:f>IF(COUNT(C43:H43)=6,SUM(C43:H43),"")</x:f>
        <x:v>50</x:v>
      </x:c>
      <x:c r="J43" s="159" t="str">
        <x:f>IF(I43="","",IF(I43&gt;=90,"S+",IF(I43&gt;=80,"S",IF(I43&gt;=70,"A+",IF(I43&gt;=60,"A",IF(I43&gt;=50,"B+",IF(I43&gt;=40,"B",IF(I43&gt;=30,"C+",IF(I43&gt;=20,"C",IF(I43&gt;=10,"D+","D"))))))))))</x:f>
        <x:v>B+</x:v>
      </x:c>
      <x:c r="K43" s="159" t="str">
        <x:v>미검증 승계·잠정</x:v>
      </x:c>
      <x:c r="L43" s="152" t="str">
        <x:v>구조점수 승계: 확인된 새 근거 없이 항목별 점수를 증감하지 않음. 최근 90일 검증된 가속도 근거 부족: 중립 가정 5점(실측 아님)</x:v>
      </x:c>
    </x:row>
    <x:row r="44" ht="94" customHeight="1">
      <x:c r="A44" s="157" t="n">
        <x:f>IF(I44="","",COUNTIF($I$5:$I$130,"&gt;"&amp;I44)+1)</x:f>
        <x:v>40</x:v>
      </x:c>
      <x:c r="B44" s="158" t="str">
        <x:v>22/7</x:v>
      </x:c>
      <x:c r="C44" s="159" t="n">
        <x:v>12</x:v>
      </x:c>
      <x:c r="D44" s="159" t="n">
        <x:v>10</x:v>
      </x:c>
      <x:c r="E44" s="159" t="n">
        <x:v>10</x:v>
      </x:c>
      <x:c r="F44" s="159" t="n">
        <x:v>7</x:v>
      </x:c>
      <x:c r="G44" s="159" t="n">
        <x:v>5</x:v>
      </x:c>
      <x:c r="H44" s="159" t="n">
        <x:v>5</x:v>
      </x:c>
      <x:c r="I44" s="159" t="n">
        <x:f>IF(COUNT(C44:H44)=6,SUM(C44:H44),"")</x:f>
        <x:v>49</x:v>
      </x:c>
      <x:c r="J44" s="159" t="str">
        <x:f>IF(I44="","",IF(I44&gt;=90,"S+",IF(I44&gt;=80,"S",IF(I44&gt;=70,"A+",IF(I44&gt;=60,"A",IF(I44&gt;=50,"B+",IF(I44&gt;=40,"B",IF(I44&gt;=30,"C+",IF(I44&gt;=20,"C",IF(I44&gt;=10,"D+","D"))))))))))</x:f>
        <x:v>B</x:v>
      </x:c>
      <x:c r="K44" s="159" t="str">
        <x:v>미검증 승계·잠정</x:v>
      </x:c>
      <x:c r="L44" s="152" t="str">
        <x:v>구조점수 승계: 확인된 새 근거 없이 항목별 점수를 증감하지 않음. 최근 90일 검증된 가속도 근거 부족: 중립 가정 5점(실측 아님)</x:v>
      </x:c>
    </x:row>
    <x:row r="45" ht="94" customHeight="1">
      <x:c r="A45" s="157" t="n">
        <x:f>IF(I45="","",COUNTIF($I$5:$I$130,"&gt;"&amp;I45)+1)</x:f>
        <x:v>40</x:v>
      </x:c>
      <x:c r="B45" s="158" t="str">
        <x:v>JamsCollection</x:v>
      </x:c>
      <x:c r="C45" s="159" t="n">
        <x:v>12</x:v>
      </x:c>
      <x:c r="D45" s="159" t="n">
        <x:v>10</x:v>
      </x:c>
      <x:c r="E45" s="159" t="n">
        <x:v>9</x:v>
      </x:c>
      <x:c r="F45" s="159" t="n">
        <x:v>8</x:v>
      </x:c>
      <x:c r="G45" s="159" t="n">
        <x:v>5</x:v>
      </x:c>
      <x:c r="H45" s="159" t="n">
        <x:v>5</x:v>
      </x:c>
      <x:c r="I45" s="159" t="n">
        <x:f>IF(COUNT(C45:H45)=6,SUM(C45:H45),"")</x:f>
        <x:v>49</x:v>
      </x:c>
      <x:c r="J45" s="159" t="str">
        <x:f>IF(I45="","",IF(I45&gt;=90,"S+",IF(I45&gt;=80,"S",IF(I45&gt;=70,"A+",IF(I45&gt;=60,"A",IF(I45&gt;=50,"B+",IF(I45&gt;=40,"B",IF(I45&gt;=30,"C+",IF(I45&gt;=20,"C",IF(I45&gt;=10,"D+","D"))))))))))</x:f>
        <x:v>B</x:v>
      </x:c>
      <x:c r="K45" s="159" t="str">
        <x:v>미검증 승계·잠정</x:v>
      </x:c>
      <x:c r="L45" s="152" t="str">
        <x:v>구조점수 승계: 확인된 새 근거 없이 항목별 점수를 증감하지 않음. 최근 90일 검증된 가속도 근거 부족: 중립 가정 5점(실측 아님)</x:v>
      </x:c>
    </x:row>
    <x:row r="46" ht="94" customHeight="1">
      <x:c r="A46" s="157" t="n">
        <x:f>IF(I46="","",COUNTIF($I$5:$I$130,"&gt;"&amp;I46)+1)</x:f>
        <x:v>40</x:v>
      </x:c>
      <x:c r="B46" s="158" t="str">
        <x:v>Palette Parade</x:v>
      </x:c>
      <x:c r="C46" s="159" t="n">
        <x:v>14</x:v>
      </x:c>
      <x:c r="D46" s="159" t="n">
        <x:v>10</x:v>
      </x:c>
      <x:c r="E46" s="159" t="n">
        <x:v>7</x:v>
      </x:c>
      <x:c r="F46" s="159" t="n">
        <x:v>8</x:v>
      </x:c>
      <x:c r="G46" s="159" t="n">
        <x:v>5</x:v>
      </x:c>
      <x:c r="H46" s="159" t="n">
        <x:v>5</x:v>
      </x:c>
      <x:c r="I46" s="159" t="n">
        <x:f>IF(COUNT(C46:H46)=6,SUM(C46:H46),"")</x:f>
        <x:v>49</x:v>
      </x:c>
      <x:c r="J46" s="159" t="str">
        <x:f>IF(I46="","",IF(I46&gt;=90,"S+",IF(I46&gt;=80,"S",IF(I46&gt;=70,"A+",IF(I46&gt;=60,"A",IF(I46&gt;=50,"B+",IF(I46&gt;=40,"B",IF(I46&gt;=30,"C+",IF(I46&gt;=20,"C",IF(I46&gt;=10,"D+","D"))))))))))</x:f>
        <x:v>B</x:v>
      </x:c>
      <x:c r="K46" s="159" t="str">
        <x:v>미검증 승계·잠정</x:v>
      </x:c>
      <x:c r="L46" s="152" t="str">
        <x:v>구조점수 승계: 확인된 새 근거 없이 항목별 점수를 증감하지 않음. 최근 90일 검증된 가속도 근거 부족: 중립 가정 5점(실측 아님)</x:v>
      </x:c>
    </x:row>
    <x:row r="47" ht="94" customHeight="1">
      <x:c r="A47" s="157" t="n">
        <x:f>IF(I47="","",COUNTIF($I$5:$I$130,"&gt;"&amp;I47)+1)</x:f>
        <x:v>40</x:v>
      </x:c>
      <x:c r="B47" s="158" t="str">
        <x:v>STU48</x:v>
      </x:c>
      <x:c r="C47" s="159" t="n">
        <x:v>12</x:v>
      </x:c>
      <x:c r="D47" s="159" t="n">
        <x:v>12</x:v>
      </x:c>
      <x:c r="E47" s="159" t="n">
        <x:v>9</x:v>
      </x:c>
      <x:c r="F47" s="159" t="n">
        <x:v>5</x:v>
      </x:c>
      <x:c r="G47" s="159" t="n">
        <x:v>5</x:v>
      </x:c>
      <x:c r="H47" s="159" t="n">
        <x:v>6</x:v>
      </x:c>
      <x:c r="I47" s="159" t="n">
        <x:f>IF(COUNT(C47:H47)=6,SUM(C47:H47),"")</x:f>
        <x:v>49</x:v>
      </x:c>
      <x:c r="J47" s="159" t="str">
        <x:f>IF(I47="","",IF(I47&gt;=90,"S+",IF(I47&gt;=80,"S",IF(I47&gt;=70,"A+",IF(I47&gt;=60,"A",IF(I47&gt;=50,"B+",IF(I47&gt;=40,"B",IF(I47&gt;=30,"C+",IF(I47&gt;=20,"C",IF(I47&gt;=10,"D+","D"))))))))))</x:f>
        <x:v>B</x:v>
      </x:c>
      <x:c r="K47" s="159" t="str">
        <x:v>미검증 승계·잠정</x:v>
      </x:c>
      <x:c r="L47" s="152" t="str">
        <x:v>구조점수 승계: 확인된 새 근거 없이 항목별 점수를 증감하지 않음. 최근 90일 검증된 가속도 근거 부족: 중립 가정 5점(실측 아님)</x:v>
      </x:c>
    </x:row>
    <x:row r="48" ht="94" customHeight="1">
      <x:c r="A48" s="157" t="n">
        <x:f>IF(I48="","",COUNTIF($I$5:$I$130,"&gt;"&amp;I48)+1)</x:f>
        <x:v>40</x:v>
      </x:c>
      <x:c r="B48" s="158" t="str">
        <x:v>SUPER☆GiRLS</x:v>
      </x:c>
      <x:c r="C48" s="159" t="n">
        <x:v>11</x:v>
      </x:c>
      <x:c r="D48" s="159" t="n">
        <x:v>9</x:v>
      </x:c>
      <x:c r="E48" s="159" t="n">
        <x:v>12</x:v>
      </x:c>
      <x:c r="F48" s="159" t="n">
        <x:v>7</x:v>
      </x:c>
      <x:c r="G48" s="159" t="n">
        <x:v>5</x:v>
      </x:c>
      <x:c r="H48" s="159" t="n">
        <x:v>5</x:v>
      </x:c>
      <x:c r="I48" s="159" t="n">
        <x:f>IF(COUNT(C48:H48)=6,SUM(C48:H48),"")</x:f>
        <x:v>49</x:v>
      </x:c>
      <x:c r="J48" s="159" t="str">
        <x:f>IF(I48="","",IF(I48&gt;=90,"S+",IF(I48&gt;=80,"S",IF(I48&gt;=70,"A+",IF(I48&gt;=60,"A",IF(I48&gt;=50,"B+",IF(I48&gt;=40,"B",IF(I48&gt;=30,"C+",IF(I48&gt;=20,"C",IF(I48&gt;=10,"D+","D"))))))))))</x:f>
        <x:v>B</x:v>
      </x:c>
      <x:c r="K48" s="159" t="str">
        <x:v>미검증 승계·잠정</x:v>
      </x:c>
      <x:c r="L48" s="152" t="str">
        <x:v>구조점수 승계: 확인된 새 근거 없이 항목별 점수를 증감하지 않음. 최근 90일 검증된 가속도 근거 부족: 중립 가정 5점(실측 아님)</x:v>
      </x:c>
    </x:row>
    <x:row r="49" ht="94" customHeight="1">
      <x:c r="A49" s="157" t="n">
        <x:f>IF(I49="","",COUNTIF($I$5:$I$130,"&gt;"&amp;I49)+1)</x:f>
        <x:v>40</x:v>
      </x:c>
      <x:c r="B49" s="158" t="str">
        <x:v>可憐なアイボリー</x:v>
      </x:c>
      <x:c r="C49" s="159" t="n">
        <x:v>12</x:v>
      </x:c>
      <x:c r="D49" s="159" t="n">
        <x:v>10</x:v>
      </x:c>
      <x:c r="E49" s="159" t="n">
        <x:v>8</x:v>
      </x:c>
      <x:c r="F49" s="159" t="n">
        <x:v>8</x:v>
      </x:c>
      <x:c r="G49" s="159" t="n">
        <x:v>5</x:v>
      </x:c>
      <x:c r="H49" s="159" t="n">
        <x:v>6</x:v>
      </x:c>
      <x:c r="I49" s="159" t="n">
        <x:f>IF(COUNT(C49:H49)=6,SUM(C49:H49),"")</x:f>
        <x:v>49</x:v>
      </x:c>
      <x:c r="J49" s="159" t="str">
        <x:f>IF(I49="","",IF(I49&gt;=90,"S+",IF(I49&gt;=80,"S",IF(I49&gt;=70,"A+",IF(I49&gt;=60,"A",IF(I49&gt;=50,"B+",IF(I49&gt;=40,"B",IF(I49&gt;=30,"C+",IF(I49&gt;=20,"C",IF(I49&gt;=10,"D+","D"))))))))))</x:f>
        <x:v>B</x:v>
      </x:c>
      <x:c r="K49" s="159" t="str">
        <x:v>미검증 승계·잠정</x:v>
      </x:c>
      <x:c r="L49" s="152" t="str">
        <x:v>구조점수 승계: 확인된 새 근거 없이 항목별 점수를 증감하지 않음. 최근 90일 검증된 가속도 근거 부족: 중립 가정 5점(실측 아님)</x:v>
      </x:c>
    </x:row>
    <x:row r="50" ht="94" customHeight="1">
      <x:c r="A50" s="157" t="n">
        <x:f>IF(I50="","",COUNTIF($I$5:$I$130,"&gt;"&amp;I50)+1)</x:f>
        <x:v>46</x:v>
      </x:c>
      <x:c r="B50" s="158" t="str">
        <x:v>Appare!</x:v>
      </x:c>
      <x:c r="C50" s="159" t="n">
        <x:v>12</x:v>
      </x:c>
      <x:c r="D50" s="159" t="n">
        <x:v>9</x:v>
      </x:c>
      <x:c r="E50" s="159" t="n">
        <x:v>9</x:v>
      </x:c>
      <x:c r="F50" s="159" t="n">
        <x:v>8</x:v>
      </x:c>
      <x:c r="G50" s="159" t="n">
        <x:v>5</x:v>
      </x:c>
      <x:c r="H50" s="159" t="n">
        <x:v>5</x:v>
      </x:c>
      <x:c r="I50" s="159" t="n">
        <x:f>IF(COUNT(C50:H50)=6,SUM(C50:H50),"")</x:f>
        <x:v>48</x:v>
      </x:c>
      <x:c r="J50" s="159" t="str">
        <x:f>IF(I50="","",IF(I50&gt;=90,"S+",IF(I50&gt;=80,"S",IF(I50&gt;=70,"A+",IF(I50&gt;=60,"A",IF(I50&gt;=50,"B+",IF(I50&gt;=40,"B",IF(I50&gt;=30,"C+",IF(I50&gt;=20,"C",IF(I50&gt;=10,"D+","D"))))))))))</x:f>
        <x:v>B</x:v>
      </x:c>
      <x:c r="K50" s="159" t="str">
        <x:v>미검증 승계·잠정</x:v>
      </x:c>
      <x:c r="L50" s="152" t="str">
        <x:v>구조점수 승계: 확인된 새 근거 없이 항목별 점수를 증감하지 않음. 최근 90일 검증된 가속도 근거 부족: 중립 가정 5점(실측 아님)</x:v>
      </x:c>
    </x:row>
    <x:row r="51" ht="94" customHeight="1">
      <x:c r="A51" s="157" t="n">
        <x:f>IF(I51="","",COUNTIF($I$5:$I$130,"&gt;"&amp;I51)+1)</x:f>
        <x:v>46</x:v>
      </x:c>
      <x:c r="B51" s="158" t="str">
        <x:v>ExWHYZ</x:v>
      </x:c>
      <x:c r="C51" s="159" t="n">
        <x:v>11</x:v>
      </x:c>
      <x:c r="D51" s="159" t="n">
        <x:v>9</x:v>
      </x:c>
      <x:c r="E51" s="159" t="n">
        <x:v>9</x:v>
      </x:c>
      <x:c r="F51" s="159" t="n">
        <x:v>8</x:v>
      </x:c>
      <x:c r="G51" s="159" t="n">
        <x:v>5</x:v>
      </x:c>
      <x:c r="H51" s="159" t="n">
        <x:v>6</x:v>
      </x:c>
      <x:c r="I51" s="159" t="n">
        <x:f>IF(COUNT(C51:H51)=6,SUM(C51:H51),"")</x:f>
        <x:v>48</x:v>
      </x:c>
      <x:c r="J51" s="159" t="str">
        <x:f>IF(I51="","",IF(I51&gt;=90,"S+",IF(I51&gt;=80,"S",IF(I51&gt;=70,"A+",IF(I51&gt;=60,"A",IF(I51&gt;=50,"B+",IF(I51&gt;=40,"B",IF(I51&gt;=30,"C+",IF(I51&gt;=20,"C",IF(I51&gt;=10,"D+","D"))))))))))</x:f>
        <x:v>B</x:v>
      </x:c>
      <x:c r="K51" s="159" t="str">
        <x:v>미검증 승계·잠정</x:v>
      </x:c>
      <x:c r="L51" s="152" t="str">
        <x:v>구조점수 승계: 확인된 새 근거 없이 항목별 점수를 증감하지 않음. 최근 90일 검증된 가속도 근거 부족: 중립 가정 5점(실측 아님)</x:v>
      </x:c>
    </x:row>
    <x:row r="52" ht="94" customHeight="1">
      <x:c r="A52" s="157" t="n">
        <x:f>IF(I52="","",COUNTIF($I$5:$I$130,"&gt;"&amp;I52)+1)</x:f>
        <x:v>46</x:v>
      </x:c>
      <x:c r="B52" s="158" t="str">
        <x:v>GANG PARADE</x:v>
      </x:c>
      <x:c r="C52" s="159" t="n">
        <x:v>13</x:v>
      </x:c>
      <x:c r="D52" s="159" t="n">
        <x:v>9</x:v>
      </x:c>
      <x:c r="E52" s="159" t="n">
        <x:v>9</x:v>
      </x:c>
      <x:c r="F52" s="159" t="n">
        <x:v>7</x:v>
      </x:c>
      <x:c r="G52" s="159" t="n">
        <x:v>5</x:v>
      </x:c>
      <x:c r="H52" s="159" t="n">
        <x:v>5</x:v>
      </x:c>
      <x:c r="I52" s="159" t="n">
        <x:f>IF(COUNT(C52:H52)=6,SUM(C52:H52),"")</x:f>
        <x:v>48</x:v>
      </x:c>
      <x:c r="J52" s="159" t="str">
        <x:f>IF(I52="","",IF(I52&gt;=90,"S+",IF(I52&gt;=80,"S",IF(I52&gt;=70,"A+",IF(I52&gt;=60,"A",IF(I52&gt;=50,"B+",IF(I52&gt;=40,"B",IF(I52&gt;=30,"C+",IF(I52&gt;=20,"C",IF(I52&gt;=10,"D+","D"))))))))))</x:f>
        <x:v>B</x:v>
      </x:c>
      <x:c r="K52" s="159" t="str">
        <x:v>미검증 승계·잠정</x:v>
      </x:c>
      <x:c r="L52" s="152" t="str">
        <x:v>구조점수 승계: 확인된 새 근거 없이 항목별 점수를 증감하지 않음. 최근 90일 검증된 가속도 근거 부족: 중립 가정 5점(실측 아님)</x:v>
      </x:c>
    </x:row>
    <x:row r="53" ht="94" customHeight="1">
      <x:c r="A53" s="157" t="n">
        <x:f>IF(I53="","",COUNTIF($I$5:$I$130,"&gt;"&amp;I53)+1)</x:f>
        <x:v>46</x:v>
      </x:c>
      <x:c r="B53" s="158" t="str">
        <x:v>きゅるりんってしてみて</x:v>
      </x:c>
      <x:c r="C53" s="159" t="n">
        <x:v>11</x:v>
      </x:c>
      <x:c r="D53" s="159" t="n">
        <x:v>9</x:v>
      </x:c>
      <x:c r="E53" s="159" t="n">
        <x:v>8</x:v>
      </x:c>
      <x:c r="F53" s="159" t="n">
        <x:v>10</x:v>
      </x:c>
      <x:c r="G53" s="159" t="n">
        <x:v>5</x:v>
      </x:c>
      <x:c r="H53" s="159" t="n">
        <x:v>5</x:v>
      </x:c>
      <x:c r="I53" s="159" t="n">
        <x:f>IF(COUNT(C53:H53)=6,SUM(C53:H53),"")</x:f>
        <x:v>48</x:v>
      </x:c>
      <x:c r="J53" s="159" t="str">
        <x:f>IF(I53="","",IF(I53&gt;=90,"S+",IF(I53&gt;=80,"S",IF(I53&gt;=70,"A+",IF(I53&gt;=60,"A",IF(I53&gt;=50,"B+",IF(I53&gt;=40,"B",IF(I53&gt;=30,"C+",IF(I53&gt;=20,"C",IF(I53&gt;=10,"D+","D"))))))))))</x:f>
        <x:v>B</x:v>
      </x:c>
      <x:c r="K53" s="159" t="str">
        <x:v>미검증 승계·잠정</x:v>
      </x:c>
      <x:c r="L53" s="152" t="str">
        <x:v>구조점수 승계: 확인된 새 근거 없이 항목별 점수를 증감하지 않음. 최근 90일 검증된 가속도 근거 부족: 중립 가정 5점(실측 아님)</x:v>
      </x:c>
    </x:row>
    <x:row r="54" ht="94" customHeight="1">
      <x:c r="A54" s="157" t="n">
        <x:f>IF(I54="","",COUNTIF($I$5:$I$130,"&gt;"&amp;I54)+1)</x:f>
        <x:v>46</x:v>
      </x:c>
      <x:c r="B54" s="158" t="str">
        <x:v>ばってん少女隊</x:v>
      </x:c>
      <x:c r="C54" s="159" t="n">
        <x:v>13</x:v>
      </x:c>
      <x:c r="D54" s="159" t="n">
        <x:v>10</x:v>
      </x:c>
      <x:c r="E54" s="159" t="n">
        <x:v>8</x:v>
      </x:c>
      <x:c r="F54" s="159" t="n">
        <x:v>7</x:v>
      </x:c>
      <x:c r="G54" s="159" t="n">
        <x:v>5</x:v>
      </x:c>
      <x:c r="H54" s="159" t="n">
        <x:v>5</x:v>
      </x:c>
      <x:c r="I54" s="159" t="n">
        <x:f>IF(COUNT(C54:H54)=6,SUM(C54:H54),"")</x:f>
        <x:v>48</x:v>
      </x:c>
      <x:c r="J54" s="159" t="str">
        <x:f>IF(I54="","",IF(I54&gt;=90,"S+",IF(I54&gt;=80,"S",IF(I54&gt;=70,"A+",IF(I54&gt;=60,"A",IF(I54&gt;=50,"B+",IF(I54&gt;=40,"B",IF(I54&gt;=30,"C+",IF(I54&gt;=20,"C",IF(I54&gt;=10,"D+","D"))))))))))</x:f>
        <x:v>B</x:v>
      </x:c>
      <x:c r="K54" s="159" t="str">
        <x:v>미검증 승계·잠정</x:v>
      </x:c>
      <x:c r="L54" s="152" t="str">
        <x:v>구조점수 승계: 확인된 새 근거 없이 항목별 점수를 증감하지 않음. 최근 90일 검증된 가속도 근거 부족: 중립 가정 5점(실측 아님)</x:v>
      </x:c>
    </x:row>
    <x:row r="55" ht="94" customHeight="1">
      <x:c r="A55" s="157" t="n">
        <x:f>IF(I55="","",COUNTIF($I$5:$I$130,"&gt;"&amp;I55)+1)</x:f>
        <x:v>51</x:v>
      </x:c>
      <x:c r="B55" s="158" t="str">
        <x:v>@onefive</x:v>
      </x:c>
      <x:c r="C55" s="159" t="n">
        <x:v>13</x:v>
      </x:c>
      <x:c r="D55" s="159" t="n">
        <x:v>9</x:v>
      </x:c>
      <x:c r="E55" s="159" t="n">
        <x:v>7</x:v>
      </x:c>
      <x:c r="F55" s="159" t="n">
        <x:v>8</x:v>
      </x:c>
      <x:c r="G55" s="159" t="n">
        <x:v>5</x:v>
      </x:c>
      <x:c r="H55" s="159" t="n">
        <x:v>5</x:v>
      </x:c>
      <x:c r="I55" s="159" t="n">
        <x:f>IF(COUNT(C55:H55)=6,SUM(C55:H55),"")</x:f>
        <x:v>47</x:v>
      </x:c>
      <x:c r="J55" s="159" t="str">
        <x:f>IF(I55="","",IF(I55&gt;=90,"S+",IF(I55&gt;=80,"S",IF(I55&gt;=70,"A+",IF(I55&gt;=60,"A",IF(I55&gt;=50,"B+",IF(I55&gt;=40,"B",IF(I55&gt;=30,"C+",IF(I55&gt;=20,"C",IF(I55&gt;=10,"D+","D"))))))))))</x:f>
        <x:v>B</x:v>
      </x:c>
      <x:c r="K55" s="159" t="str">
        <x:v>미검증 승계·잠정</x:v>
      </x:c>
      <x:c r="L55" s="152" t="str">
        <x:v>구조점수 승계: 확인된 새 근거 없이 항목별 점수를 증감하지 않음. 최근 90일 검증된 가속도 근거 부족: 중립 가정 5점(실측 아님)</x:v>
      </x:c>
    </x:row>
    <x:row r="56" ht="94" customHeight="1">
      <x:c r="A56" s="157" t="n">
        <x:f>IF(I56="","",COUNTIF($I$5:$I$130,"&gt;"&amp;I56)+1)</x:f>
        <x:v>51</x:v>
      </x:c>
      <x:c r="B56" s="158" t="str">
        <x:v>AVAM</x:v>
      </x:c>
      <x:c r="C56" s="159" t="n">
        <x:v>12</x:v>
      </x:c>
      <x:c r="D56" s="159" t="n">
        <x:v>9</x:v>
      </x:c>
      <x:c r="E56" s="159" t="n">
        <x:v>7</x:v>
      </x:c>
      <x:c r="F56" s="159" t="n">
        <x:v>10</x:v>
      </x:c>
      <x:c r="G56" s="159" t="n">
        <x:v>5</x:v>
      </x:c>
      <x:c r="H56" s="159" t="n">
        <x:v>4</x:v>
      </x:c>
      <x:c r="I56" s="159" t="n">
        <x:f>IF(COUNT(C56:H56)=6,SUM(C56:H56),"")</x:f>
        <x:v>47</x:v>
      </x:c>
      <x:c r="J56" s="159" t="str">
        <x:f>IF(I56="","",IF(I56&gt;=90,"S+",IF(I56&gt;=80,"S",IF(I56&gt;=70,"A+",IF(I56&gt;=60,"A",IF(I56&gt;=50,"B+",IF(I56&gt;=40,"B",IF(I56&gt;=30,"C+",IF(I56&gt;=20,"C",IF(I56&gt;=10,"D+","D"))))))))))</x:f>
        <x:v>B</x:v>
      </x:c>
      <x:c r="K56" s="159" t="str">
        <x:v>미검증 승계·잠정</x:v>
      </x:c>
      <x:c r="L56" s="152" t="str">
        <x:v>구조점수 승계: 확인된 새 근거 없이 항목별 점수를 증감하지 않음. 최근 90일 검증된 가속도 근거 부족: 중립 가정 5점(실측 아님)</x:v>
      </x:c>
    </x:row>
    <x:row r="57" ht="94" customHeight="1">
      <x:c r="A57" s="157" t="n">
        <x:f>IF(I57="","",COUNTIF($I$5:$I$130,"&gt;"&amp;I57)+1)</x:f>
        <x:v>51</x:v>
      </x:c>
      <x:c r="B57" s="158" t="str">
        <x:v>BEYOOOOONDS</x:v>
      </x:c>
      <x:c r="C57" s="159" t="n">
        <x:v>11</x:v>
      </x:c>
      <x:c r="D57" s="159" t="n">
        <x:v>11</x:v>
      </x:c>
      <x:c r="E57" s="159" t="n">
        <x:v>9</x:v>
      </x:c>
      <x:c r="F57" s="159" t="n">
        <x:v>5</x:v>
      </x:c>
      <x:c r="G57" s="159" t="n">
        <x:v>5</x:v>
      </x:c>
      <x:c r="H57" s="159" t="n">
        <x:v>6</x:v>
      </x:c>
      <x:c r="I57" s="159" t="n">
        <x:f>IF(COUNT(C57:H57)=6,SUM(C57:H57),"")</x:f>
        <x:v>47</x:v>
      </x:c>
      <x:c r="J57" s="159" t="str">
        <x:f>IF(I57="","",IF(I57&gt;=90,"S+",IF(I57&gt;=80,"S",IF(I57&gt;=70,"A+",IF(I57&gt;=60,"A",IF(I57&gt;=50,"B+",IF(I57&gt;=40,"B",IF(I57&gt;=30,"C+",IF(I57&gt;=20,"C",IF(I57&gt;=10,"D+","D"))))))))))</x:f>
        <x:v>B</x:v>
      </x:c>
      <x:c r="K57" s="159" t="str">
        <x:v>미검증 승계·잠정</x:v>
      </x:c>
      <x:c r="L57" s="152" t="str">
        <x:v>구조점수 승계: 확인된 새 근거 없이 항목별 점수를 증감하지 않음. 최근 90일 검증된 가속도 근거 부족: 중립 가정 5점(실측 아님)</x:v>
      </x:c>
    </x:row>
    <x:row r="58" ht="94" customHeight="1">
      <x:c r="A58" s="157" t="n">
        <x:f>IF(I58="","",COUNTIF($I$5:$I$130,"&gt;"&amp;I58)+1)</x:f>
        <x:v>51</x:v>
      </x:c>
      <x:c r="B58" s="158" t="str">
        <x:v>IS:SUE</x:v>
      </x:c>
      <x:c r="C58" s="159" t="n">
        <x:v>10</x:v>
      </x:c>
      <x:c r="D58" s="159" t="n">
        <x:v>10</x:v>
      </x:c>
      <x:c r="E58" s="159" t="n">
        <x:v>7</x:v>
      </x:c>
      <x:c r="F58" s="159" t="n">
        <x:v>9</x:v>
      </x:c>
      <x:c r="G58" s="159" t="n">
        <x:v>5</x:v>
      </x:c>
      <x:c r="H58" s="159" t="n">
        <x:v>6</x:v>
      </x:c>
      <x:c r="I58" s="159" t="n">
        <x:f>IF(COUNT(C58:H58)=6,SUM(C58:H58),"")</x:f>
        <x:v>47</x:v>
      </x:c>
      <x:c r="J58" s="159" t="str">
        <x:f>IF(I58="","",IF(I58&gt;=90,"S+",IF(I58&gt;=80,"S",IF(I58&gt;=70,"A+",IF(I58&gt;=60,"A",IF(I58&gt;=50,"B+",IF(I58&gt;=40,"B",IF(I58&gt;=30,"C+",IF(I58&gt;=20,"C",IF(I58&gt;=10,"D+","D"))))))))))</x:f>
        <x:v>B</x:v>
      </x:c>
      <x:c r="K58" s="159" t="str">
        <x:v>미검증 승계·잠정</x:v>
      </x:c>
      <x:c r="L58" s="152" t="str">
        <x:v>구조점수 승계: 확인된 새 근거 없이 항목별 점수를 증감하지 않음. 최근 90일 검증된 가속도 근거 부족: 중립 가정 5점(실측 아님)</x:v>
      </x:c>
    </x:row>
    <x:row r="59" ht="94" customHeight="1">
      <x:c r="A59" s="157" t="n">
        <x:f>IF(I59="","",COUNTIF($I$5:$I$130,"&gt;"&amp;I59)+1)</x:f>
        <x:v>51</x:v>
      </x:c>
      <x:c r="B59" s="158" t="str">
        <x:v>僕が見たかった青空</x:v>
      </x:c>
      <x:c r="C59" s="159" t="n">
        <x:v>11</x:v>
      </x:c>
      <x:c r="D59" s="159" t="n">
        <x:v>11</x:v>
      </x:c>
      <x:c r="E59" s="159" t="n">
        <x:v>7</x:v>
      </x:c>
      <x:c r="F59" s="159" t="n">
        <x:v>7</x:v>
      </x:c>
      <x:c r="G59" s="159" t="n">
        <x:v>5</x:v>
      </x:c>
      <x:c r="H59" s="159" t="n">
        <x:v>6</x:v>
      </x:c>
      <x:c r="I59" s="159" t="n">
        <x:f>IF(COUNT(C59:H59)=6,SUM(C59:H59),"")</x:f>
        <x:v>47</x:v>
      </x:c>
      <x:c r="J59" s="159" t="str">
        <x:f>IF(I59="","",IF(I59&gt;=90,"S+",IF(I59&gt;=80,"S",IF(I59&gt;=70,"A+",IF(I59&gt;=60,"A",IF(I59&gt;=50,"B+",IF(I59&gt;=40,"B",IF(I59&gt;=30,"C+",IF(I59&gt;=20,"C",IF(I59&gt;=10,"D+","D"))))))))))</x:f>
        <x:v>B</x:v>
      </x:c>
      <x:c r="K59" s="159" t="str">
        <x:v>미검증 승계·잠정</x:v>
      </x:c>
      <x:c r="L59" s="152" t="str">
        <x:v>구조점수 승계: 확인된 새 근거 없이 항목별 점수를 증감하지 않음. 최근 90일 검증된 가속도 근거 부족: 중립 가정 5점(실측 아님)</x:v>
      </x:c>
    </x:row>
    <x:row r="60" ht="94" customHeight="1">
      <x:c r="A60" s="157" t="n">
        <x:f>IF(I60="","",COUNTIF($I$5:$I$130,"&gt;"&amp;I60)+1)</x:f>
        <x:v>56</x:v>
      </x:c>
      <x:c r="B60" s="158" t="str">
        <x:v>NANIMONO</x:v>
      </x:c>
      <x:c r="C60" s="159" t="n">
        <x:v>13</x:v>
      </x:c>
      <x:c r="D60" s="159" t="n">
        <x:v>10</x:v>
      </x:c>
      <x:c r="E60" s="159" t="n">
        <x:v>6</x:v>
      </x:c>
      <x:c r="F60" s="159" t="n">
        <x:v>8</x:v>
      </x:c>
      <x:c r="G60" s="159" t="n">
        <x:v>5</x:v>
      </x:c>
      <x:c r="H60" s="159" t="n">
        <x:v>4</x:v>
      </x:c>
      <x:c r="I60" s="159" t="n">
        <x:f>IF(COUNT(C60:H60)=6,SUM(C60:H60),"")</x:f>
        <x:v>46</x:v>
      </x:c>
      <x:c r="J60" s="159" t="str">
        <x:f>IF(I60="","",IF(I60&gt;=90,"S+",IF(I60&gt;=80,"S",IF(I60&gt;=70,"A+",IF(I60&gt;=60,"A",IF(I60&gt;=50,"B+",IF(I60&gt;=40,"B",IF(I60&gt;=30,"C+",IF(I60&gt;=20,"C",IF(I60&gt;=10,"D+","D"))))))))))</x:f>
        <x:v>B</x:v>
      </x:c>
      <x:c r="K60" s="159" t="str">
        <x:v>미검증 승계·잠정</x:v>
      </x:c>
      <x:c r="L60" s="152" t="str">
        <x:v>구조점수 승계: 확인된 새 근거 없이 항목별 점수를 증감하지 않음. 최근 90일 검증된 가속도 근거 부족: 중립 가정 5점(실측 아님)</x:v>
      </x:c>
    </x:row>
    <x:row r="61" ht="94" customHeight="1">
      <x:c r="A61" s="157" t="n">
        <x:f>IF(I61="","",COUNTIF($I$5:$I$130,"&gt;"&amp;I61)+1)</x:f>
        <x:v>56</x:v>
      </x:c>
      <x:c r="B61" s="158" t="str">
        <x:v>タイトル未定</x:v>
      </x:c>
      <x:c r="C61" s="159" t="n">
        <x:v>14</x:v>
      </x:c>
      <x:c r="D61" s="159" t="n">
        <x:v>10</x:v>
      </x:c>
      <x:c r="E61" s="159" t="n">
        <x:v>6</x:v>
      </x:c>
      <x:c r="F61" s="159" t="n">
        <x:v>7</x:v>
      </x:c>
      <x:c r="G61" s="159" t="n">
        <x:v>5</x:v>
      </x:c>
      <x:c r="H61" s="159" t="n">
        <x:v>4</x:v>
      </x:c>
      <x:c r="I61" s="159" t="n">
        <x:f>IF(COUNT(C61:H61)=6,SUM(C61:H61),"")</x:f>
        <x:v>46</x:v>
      </x:c>
      <x:c r="J61" s="159" t="str">
        <x:f>IF(I61="","",IF(I61&gt;=90,"S+",IF(I61&gt;=80,"S",IF(I61&gt;=70,"A+",IF(I61&gt;=60,"A",IF(I61&gt;=50,"B+",IF(I61&gt;=40,"B",IF(I61&gt;=30,"C+",IF(I61&gt;=20,"C",IF(I61&gt;=10,"D+","D"))))))))))</x:f>
        <x:v>B</x:v>
      </x:c>
      <x:c r="K61" s="159" t="str">
        <x:v>미검증 승계·잠정</x:v>
      </x:c>
      <x:c r="L61" s="152" t="str">
        <x:v>구조점수 승계: 확인된 새 근거 없이 항목별 점수를 증감하지 않음. 최근 90일 검증된 가속도 근거 부족: 중립 가정 5점(실측 아님)</x:v>
      </x:c>
    </x:row>
    <x:row r="62" ht="94" customHeight="1">
      <x:c r="A62" s="157" t="n">
        <x:f>IF(I62="","",COUNTIF($I$5:$I$130,"&gt;"&amp;I62)+1)</x:f>
        <x:v>56</x:v>
      </x:c>
      <x:c r="B62" s="158" t="str">
        <x:v>のんふぃく！</x:v>
      </x:c>
      <x:c r="C62" s="159" t="n">
        <x:v>12</x:v>
      </x:c>
      <x:c r="D62" s="159" t="n">
        <x:v>10</x:v>
      </x:c>
      <x:c r="E62" s="159" t="n">
        <x:v>6</x:v>
      </x:c>
      <x:c r="F62" s="159" t="n">
        <x:v>9</x:v>
      </x:c>
      <x:c r="G62" s="159" t="n">
        <x:v>5</x:v>
      </x:c>
      <x:c r="H62" s="159" t="n">
        <x:v>4</x:v>
      </x:c>
      <x:c r="I62" s="159" t="n">
        <x:f>IF(COUNT(C62:H62)=6,SUM(C62:H62),"")</x:f>
        <x:v>46</x:v>
      </x:c>
      <x:c r="J62" s="159" t="str">
        <x:f>IF(I62="","",IF(I62&gt;=90,"S+",IF(I62&gt;=80,"S",IF(I62&gt;=70,"A+",IF(I62&gt;=60,"A",IF(I62&gt;=50,"B+",IF(I62&gt;=40,"B",IF(I62&gt;=30,"C+",IF(I62&gt;=20,"C",IF(I62&gt;=10,"D+","D"))))))))))</x:f>
        <x:v>B</x:v>
      </x:c>
      <x:c r="K62" s="159" t="str">
        <x:v>미검증 승계·잠정</x:v>
      </x:c>
      <x:c r="L62" s="152" t="str">
        <x:v>구조점수 승계: 확인된 새 근거 없이 항목별 점수를 증감하지 않음. 최근 90일 검증된 가속도 근거 부족: 중립 가정 5점(실측 아님)</x:v>
      </x:c>
    </x:row>
    <x:row r="63" ht="94" customHeight="1">
      <x:c r="A63" s="157" t="n">
        <x:f>IF(I63="","",COUNTIF($I$5:$I$130,"&gt;"&amp;I63)+1)</x:f>
        <x:v>56</x:v>
      </x:c>
      <x:c r="B63" s="158" t="str">
        <x:v>夜光性アミューズ</x:v>
      </x:c>
      <x:c r="C63" s="159" t="n">
        <x:v>12</x:v>
      </x:c>
      <x:c r="D63" s="159" t="n">
        <x:v>9</x:v>
      </x:c>
      <x:c r="E63" s="159" t="n">
        <x:v>7</x:v>
      </x:c>
      <x:c r="F63" s="159" t="n">
        <x:v>9</x:v>
      </x:c>
      <x:c r="G63" s="159" t="n">
        <x:v>5</x:v>
      </x:c>
      <x:c r="H63" s="159" t="n">
        <x:v>4</x:v>
      </x:c>
      <x:c r="I63" s="159" t="n">
        <x:f>IF(COUNT(C63:H63)=6,SUM(C63:H63),"")</x:f>
        <x:v>46</x:v>
      </x:c>
      <x:c r="J63" s="159" t="str">
        <x:f>IF(I63="","",IF(I63&gt;=90,"S+",IF(I63&gt;=80,"S",IF(I63&gt;=70,"A+",IF(I63&gt;=60,"A",IF(I63&gt;=50,"B+",IF(I63&gt;=40,"B",IF(I63&gt;=30,"C+",IF(I63&gt;=20,"C",IF(I63&gt;=10,"D+","D"))))))))))</x:f>
        <x:v>B</x:v>
      </x:c>
      <x:c r="K63" s="159" t="str">
        <x:v>미검증 승계·잠정</x:v>
      </x:c>
      <x:c r="L63" s="152" t="str">
        <x:v>구조점수 승계: 확인된 새 근거 없이 항목별 점수를 증감하지 않음. 최근 90일 검증된 가속도 근거 부족: 중립 가정 5점(실측 아님)</x:v>
      </x:c>
    </x:row>
    <x:row r="64" ht="94" customHeight="1">
      <x:c r="A64" s="157" t="n">
        <x:f>IF(I64="","",COUNTIF($I$5:$I$130,"&gt;"&amp;I64)+1)</x:f>
        <x:v>60</x:v>
      </x:c>
      <x:c r="B64" s="158" t="str">
        <x:v>CYNHN</x:v>
      </x:c>
      <x:c r="C64" s="159" t="n">
        <x:v>14</x:v>
      </x:c>
      <x:c r="D64" s="159" t="n">
        <x:v>9</x:v>
      </x:c>
      <x:c r="E64" s="159" t="n">
        <x:v>6</x:v>
      </x:c>
      <x:c r="F64" s="159" t="n">
        <x:v>6</x:v>
      </x:c>
      <x:c r="G64" s="159" t="n">
        <x:v>5</x:v>
      </x:c>
      <x:c r="H64" s="159" t="n">
        <x:v>5</x:v>
      </x:c>
      <x:c r="I64" s="159" t="n">
        <x:f>IF(COUNT(C64:H64)=6,SUM(C64:H64),"")</x:f>
        <x:v>45</x:v>
      </x:c>
      <x:c r="J64" s="159" t="str">
        <x:f>IF(I64="","",IF(I64&gt;=90,"S+",IF(I64&gt;=80,"S",IF(I64&gt;=70,"A+",IF(I64&gt;=60,"A",IF(I64&gt;=50,"B+",IF(I64&gt;=40,"B",IF(I64&gt;=30,"C+",IF(I64&gt;=20,"C",IF(I64&gt;=10,"D+","D"))))))))))</x:f>
        <x:v>B</x:v>
      </x:c>
      <x:c r="K64" s="159" t="str">
        <x:v>미검증 승계·잠정</x:v>
      </x:c>
      <x:c r="L64" s="152" t="str">
        <x:v>구조점수 승계: 확인된 새 근거 없이 항목별 점수를 증감하지 않음. 최근 90일 검증된 가속도 근거 부족: 중립 가정 5점(실측 아님)</x:v>
      </x:c>
    </x:row>
    <x:row r="65" ht="94" customHeight="1">
      <x:c r="A65" s="157" t="n">
        <x:f>IF(I65="","",COUNTIF($I$5:$I$130,"&gt;"&amp;I65)+1)</x:f>
        <x:v>60</x:v>
      </x:c>
      <x:c r="B65" s="158" t="str">
        <x:v>yosugala</x:v>
      </x:c>
      <x:c r="C65" s="159" t="n">
        <x:v>11</x:v>
      </x:c>
      <x:c r="D65" s="159" t="n">
        <x:v>9</x:v>
      </x:c>
      <x:c r="E65" s="159" t="n">
        <x:v>8</x:v>
      </x:c>
      <x:c r="F65" s="159" t="n">
        <x:v>7</x:v>
      </x:c>
      <x:c r="G65" s="159" t="n">
        <x:v>5</x:v>
      </x:c>
      <x:c r="H65" s="159" t="n">
        <x:v>5</x:v>
      </x:c>
      <x:c r="I65" s="159" t="n">
        <x:f>IF(COUNT(C65:H65)=6,SUM(C65:H65),"")</x:f>
        <x:v>45</x:v>
      </x:c>
      <x:c r="J65" s="159" t="str">
        <x:f>IF(I65="","",IF(I65&gt;=90,"S+",IF(I65&gt;=80,"S",IF(I65&gt;=70,"A+",IF(I65&gt;=60,"A",IF(I65&gt;=50,"B+",IF(I65&gt;=40,"B",IF(I65&gt;=30,"C+",IF(I65&gt;=20,"C",IF(I65&gt;=10,"D+","D"))))))))))</x:f>
        <x:v>B</x:v>
      </x:c>
      <x:c r="K65" s="159" t="str">
        <x:v>미검증 승계·잠정</x:v>
      </x:c>
      <x:c r="L65" s="152" t="str">
        <x:v>구조점수 승계: 확인된 새 근거 없이 항목별 점수를 증감하지 않음. 최근 90일 검증된 가속도 근거 부족: 중립 가정 5점(실측 아님)</x:v>
      </x:c>
    </x:row>
    <x:row r="66" ht="94" customHeight="1">
      <x:c r="A66" s="157" t="n">
        <x:f>IF(I66="","",COUNTIF($I$5:$I$130,"&gt;"&amp;I66)+1)</x:f>
        <x:v>60</x:v>
      </x:c>
      <x:c r="B66" s="158" t="str">
        <x:v>フィロソフィーのダンス</x:v>
      </x:c>
      <x:c r="C66" s="159" t="n">
        <x:v>10</x:v>
      </x:c>
      <x:c r="D66" s="159" t="n">
        <x:v>8</x:v>
      </x:c>
      <x:c r="E66" s="159" t="n">
        <x:v>9</x:v>
      </x:c>
      <x:c r="F66" s="159" t="n">
        <x:v>8</x:v>
      </x:c>
      <x:c r="G66" s="159" t="n">
        <x:v>5</x:v>
      </x:c>
      <x:c r="H66" s="159" t="n">
        <x:v>5</x:v>
      </x:c>
      <x:c r="I66" s="159" t="n">
        <x:f>IF(COUNT(C66:H66)=6,SUM(C66:H66),"")</x:f>
        <x:v>45</x:v>
      </x:c>
      <x:c r="J66" s="159" t="str">
        <x:f>IF(I66="","",IF(I66&gt;=90,"S+",IF(I66&gt;=80,"S",IF(I66&gt;=70,"A+",IF(I66&gt;=60,"A",IF(I66&gt;=50,"B+",IF(I66&gt;=40,"B",IF(I66&gt;=30,"C+",IF(I66&gt;=20,"C",IF(I66&gt;=10,"D+","D"))))))))))</x:f>
        <x:v>B</x:v>
      </x:c>
      <x:c r="K66" s="159" t="str">
        <x:v>미검증 승계·잠정</x:v>
      </x:c>
      <x:c r="L66" s="152" t="str">
        <x:v>구조점수 승계: 확인된 새 근거 없이 항목별 점수를 증감하지 않음. 최근 90일 검증된 가속도 근거 부족: 중립 가정 5점(실측 아님)</x:v>
      </x:c>
    </x:row>
    <x:row r="67" ht="94" customHeight="1">
      <x:c r="A67" s="157" t="n">
        <x:f>IF(I67="","",COUNTIF($I$5:$I$130,"&gt;"&amp;I67)+1)</x:f>
        <x:v>60</x:v>
      </x:c>
      <x:c r="B67" s="158" t="str">
        <x:v>最終未来少女</x:v>
      </x:c>
      <x:c r="C67" s="159" t="n">
        <x:v>11</x:v>
      </x:c>
      <x:c r="D67" s="159" t="n">
        <x:v>8</x:v>
      </x:c>
      <x:c r="E67" s="159" t="n">
        <x:v>7</x:v>
      </x:c>
      <x:c r="F67" s="159" t="n">
        <x:v>10</x:v>
      </x:c>
      <x:c r="G67" s="159" t="n">
        <x:v>5</x:v>
      </x:c>
      <x:c r="H67" s="159" t="n">
        <x:v>4</x:v>
      </x:c>
      <x:c r="I67" s="159" t="n">
        <x:f>IF(COUNT(C67:H67)=6,SUM(C67:H67),"")</x:f>
        <x:v>45</x:v>
      </x:c>
      <x:c r="J67" s="159" t="str">
        <x:f>IF(I67="","",IF(I67&gt;=90,"S+",IF(I67&gt;=80,"S",IF(I67&gt;=70,"A+",IF(I67&gt;=60,"A",IF(I67&gt;=50,"B+",IF(I67&gt;=40,"B",IF(I67&gt;=30,"C+",IF(I67&gt;=20,"C",IF(I67&gt;=10,"D+","D"))))))))))</x:f>
        <x:v>B</x:v>
      </x:c>
      <x:c r="K67" s="159" t="str">
        <x:v>미검증 승계·잠정</x:v>
      </x:c>
      <x:c r="L67" s="152" t="str">
        <x:v>구조점수 승계: 확인된 새 근거 없이 항목별 점수를 증감하지 않음. 최근 90일 검증된 가속도 근거 부족: 중립 가정 5점(실측 아님)</x:v>
      </x:c>
    </x:row>
    <x:row r="68" ht="94" customHeight="1">
      <x:c r="A68" s="157" t="n">
        <x:f>IF(I68="","",COUNTIF($I$5:$I$130,"&gt;"&amp;I68)+1)</x:f>
        <x:v>64</x:v>
      </x:c>
      <x:c r="B68" s="158" t="str">
        <x:v>FES☆TIVE</x:v>
      </x:c>
      <x:c r="C68" s="159" t="n">
        <x:v>11</x:v>
      </x:c>
      <x:c r="D68" s="159" t="n">
        <x:v>9</x:v>
      </x:c>
      <x:c r="E68" s="159" t="n">
        <x:v>7</x:v>
      </x:c>
      <x:c r="F68" s="159" t="n">
        <x:v>7</x:v>
      </x:c>
      <x:c r="G68" s="159" t="n">
        <x:v>5</x:v>
      </x:c>
      <x:c r="H68" s="159" t="n">
        <x:v>5</x:v>
      </x:c>
      <x:c r="I68" s="159" t="n">
        <x:f>IF(COUNT(C68:H68)=6,SUM(C68:H68),"")</x:f>
        <x:v>44</x:v>
      </x:c>
      <x:c r="J68" s="159" t="str">
        <x:f>IF(I68="","",IF(I68&gt;=90,"S+",IF(I68&gt;=80,"S",IF(I68&gt;=70,"A+",IF(I68&gt;=60,"A",IF(I68&gt;=50,"B+",IF(I68&gt;=40,"B",IF(I68&gt;=30,"C+",IF(I68&gt;=20,"C",IF(I68&gt;=10,"D+","D"))))))))))</x:f>
        <x:v>B</x:v>
      </x:c>
      <x:c r="K68" s="159" t="str">
        <x:v>미검증 승계·잠정</x:v>
      </x:c>
      <x:c r="L68" s="152" t="str">
        <x:v>구조점수 승계: 확인된 새 근거 없이 항목별 점수를 증감하지 않음. 최근 90일 검증된 가속도 근거 부족: 중립 가정 5점(실측 아님)</x:v>
      </x:c>
    </x:row>
    <x:row r="69" ht="94" customHeight="1">
      <x:c r="A69" s="157" t="n">
        <x:f>IF(I69="","",COUNTIF($I$5:$I$130,"&gt;"&amp;I69)+1)</x:f>
        <x:v>64</x:v>
      </x:c>
      <x:c r="B69" s="158" t="str">
        <x:v>iScream</x:v>
      </x:c>
      <x:c r="C69" s="159" t="n">
        <x:v>10</x:v>
      </x:c>
      <x:c r="D69" s="159" t="n">
        <x:v>8</x:v>
      </x:c>
      <x:c r="E69" s="159" t="n">
        <x:v>7</x:v>
      </x:c>
      <x:c r="F69" s="159" t="n">
        <x:v>10</x:v>
      </x:c>
      <x:c r="G69" s="159" t="n">
        <x:v>5</x:v>
      </x:c>
      <x:c r="H69" s="159" t="n">
        <x:v>4</x:v>
      </x:c>
      <x:c r="I69" s="159" t="n">
        <x:f>IF(COUNT(C69:H69)=6,SUM(C69:H69),"")</x:f>
        <x:v>44</x:v>
      </x:c>
      <x:c r="J69" s="159" t="str">
        <x:f>IF(I69="","",IF(I69&gt;=90,"S+",IF(I69&gt;=80,"S",IF(I69&gt;=70,"A+",IF(I69&gt;=60,"A",IF(I69&gt;=50,"B+",IF(I69&gt;=40,"B",IF(I69&gt;=30,"C+",IF(I69&gt;=20,"C",IF(I69&gt;=10,"D+","D"))))))))))</x:f>
        <x:v>B</x:v>
      </x:c>
      <x:c r="K69" s="159" t="str">
        <x:v>미검증 승계·잠정</x:v>
      </x:c>
      <x:c r="L69" s="152" t="str">
        <x:v>구조점수 승계: 확인된 새 근거 없이 항목별 점수를 증감하지 않음. 최근 90일 검증된 가속도 근거 부족: 중립 가정 5점(실측 아님)</x:v>
      </x:c>
    </x:row>
    <x:row r="70" ht="94" customHeight="1">
      <x:c r="A70" s="157" t="n">
        <x:f>IF(I70="","",COUNTIF($I$5:$I$130,"&gt;"&amp;I70)+1)</x:f>
        <x:v>64</x:v>
      </x:c>
      <x:c r="B70" s="158" t="str">
        <x:v>Task have Fun</x:v>
      </x:c>
      <x:c r="C70" s="159" t="n">
        <x:v>11</x:v>
      </x:c>
      <x:c r="D70" s="159" t="n">
        <x:v>9</x:v>
      </x:c>
      <x:c r="E70" s="159" t="n">
        <x:v>8</x:v>
      </x:c>
      <x:c r="F70" s="159" t="n">
        <x:v>6</x:v>
      </x:c>
      <x:c r="G70" s="159" t="n">
        <x:v>5</x:v>
      </x:c>
      <x:c r="H70" s="159" t="n">
        <x:v>5</x:v>
      </x:c>
      <x:c r="I70" s="159" t="n">
        <x:f>IF(COUNT(C70:H70)=6,SUM(C70:H70),"")</x:f>
        <x:v>44</x:v>
      </x:c>
      <x:c r="J70" s="159" t="str">
        <x:f>IF(I70="","",IF(I70&gt;=90,"S+",IF(I70&gt;=80,"S",IF(I70&gt;=70,"A+",IF(I70&gt;=60,"A",IF(I70&gt;=50,"B+",IF(I70&gt;=40,"B",IF(I70&gt;=30,"C+",IF(I70&gt;=20,"C",IF(I70&gt;=10,"D+","D"))))))))))</x:f>
        <x:v>B</x:v>
      </x:c>
      <x:c r="K70" s="159" t="str">
        <x:v>미검증 승계·잠정</x:v>
      </x:c>
      <x:c r="L70" s="152" t="str">
        <x:v>구조점수 승계: 확인된 새 근거 없이 항목별 점수를 증감하지 않음. 최근 90일 검증된 가속도 근거 부족: 중립 가정 5점(실측 아님)</x:v>
      </x:c>
    </x:row>
    <x:row r="71" ht="94" customHeight="1">
      <x:c r="A71" s="157" t="n">
        <x:f>IF(I71="","",COUNTIF($I$5:$I$130,"&gt;"&amp;I71)+1)</x:f>
        <x:v>64</x:v>
      </x:c>
      <x:c r="B71" s="158" t="str">
        <x:v>手羽先センセーション</x:v>
      </x:c>
      <x:c r="C71" s="159" t="n">
        <x:v>12</x:v>
      </x:c>
      <x:c r="D71" s="159" t="n">
        <x:v>9</x:v>
      </x:c>
      <x:c r="E71" s="159" t="n">
        <x:v>7</x:v>
      </x:c>
      <x:c r="F71" s="159" t="n">
        <x:v>6</x:v>
      </x:c>
      <x:c r="G71" s="159" t="n">
        <x:v>5</x:v>
      </x:c>
      <x:c r="H71" s="159" t="n">
        <x:v>5</x:v>
      </x:c>
      <x:c r="I71" s="159" t="n">
        <x:f>IF(COUNT(C71:H71)=6,SUM(C71:H71),"")</x:f>
        <x:v>44</x:v>
      </x:c>
      <x:c r="J71" s="159" t="str">
        <x:f>IF(I71="","",IF(I71&gt;=90,"S+",IF(I71&gt;=80,"S",IF(I71&gt;=70,"A+",IF(I71&gt;=60,"A",IF(I71&gt;=50,"B+",IF(I71&gt;=40,"B",IF(I71&gt;=30,"C+",IF(I71&gt;=20,"C",IF(I71&gt;=10,"D+","D"))))))))))</x:f>
        <x:v>B</x:v>
      </x:c>
      <x:c r="K71" s="159" t="str">
        <x:v>미검증 승계·잠정</x:v>
      </x:c>
      <x:c r="L71" s="152" t="str">
        <x:v>구조점수 승계: 확인된 새 근거 없이 항목별 점수를 증감하지 않음. 최근 90일 검증된 가속도 근거 부족: 중립 가정 5점(실측 아님)</x:v>
      </x:c>
    </x:row>
    <x:row r="72" ht="94" customHeight="1">
      <x:c r="A72" s="157" t="n">
        <x:f>IF(I72="","",COUNTIF($I$5:$I$130,"&gt;"&amp;I72)+1)</x:f>
        <x:v>68</x:v>
      </x:c>
      <x:c r="B72" s="158" t="str">
        <x:v>MyDearDarlin'</x:v>
      </x:c>
      <x:c r="C72" s="159" t="n">
        <x:v>11</x:v>
      </x:c>
      <x:c r="D72" s="159" t="n">
        <x:v>9</x:v>
      </x:c>
      <x:c r="E72" s="159" t="n">
        <x:v>7</x:v>
      </x:c>
      <x:c r="F72" s="159" t="n">
        <x:v>7</x:v>
      </x:c>
      <x:c r="G72" s="159" t="n">
        <x:v>5</x:v>
      </x:c>
      <x:c r="H72" s="159" t="n">
        <x:v>4</x:v>
      </x:c>
      <x:c r="I72" s="159" t="n">
        <x:f>IF(COUNT(C72:H72)=6,SUM(C72:H72),"")</x:f>
        <x:v>43</x:v>
      </x:c>
      <x:c r="J72" s="159" t="str">
        <x:f>IF(I72="","",IF(I72&gt;=90,"S+",IF(I72&gt;=80,"S",IF(I72&gt;=70,"A+",IF(I72&gt;=60,"A",IF(I72&gt;=50,"B+",IF(I72&gt;=40,"B",IF(I72&gt;=30,"C+",IF(I72&gt;=20,"C",IF(I72&gt;=10,"D+","D"))))))))))</x:f>
        <x:v>B</x:v>
      </x:c>
      <x:c r="K72" s="159" t="str">
        <x:v>미검증 승계·잠정</x:v>
      </x:c>
      <x:c r="L72" s="152" t="str">
        <x:v>구조점수 승계: 확인된 새 근거 없이 항목별 점수를 증감하지 않음. 최근 90일 검증된 가속도 근거 부족: 중립 가정 5점(실측 아님)</x:v>
      </x:c>
    </x:row>
    <x:row r="73" ht="94" customHeight="1">
      <x:c r="A73" s="157" t="n">
        <x:f>IF(I73="","",COUNTIF($I$5:$I$130,"&gt;"&amp;I73)+1)</x:f>
        <x:v>68</x:v>
      </x:c>
      <x:c r="B73" s="158" t="str">
        <x:v>UtaGe!</x:v>
      </x:c>
      <x:c r="C73" s="159" t="n">
        <x:v>11</x:v>
      </x:c>
      <x:c r="D73" s="159" t="n">
        <x:v>9</x:v>
      </x:c>
      <x:c r="E73" s="159" t="n">
        <x:v>6</x:v>
      </x:c>
      <x:c r="F73" s="159" t="n">
        <x:v>8</x:v>
      </x:c>
      <x:c r="G73" s="159" t="n">
        <x:v>5</x:v>
      </x:c>
      <x:c r="H73" s="159" t="n">
        <x:v>4</x:v>
      </x:c>
      <x:c r="I73" s="159" t="n">
        <x:f>IF(COUNT(C73:H73)=6,SUM(C73:H73),"")</x:f>
        <x:v>43</x:v>
      </x:c>
      <x:c r="J73" s="159" t="str">
        <x:f>IF(I73="","",IF(I73&gt;=90,"S+",IF(I73&gt;=80,"S",IF(I73&gt;=70,"A+",IF(I73&gt;=60,"A",IF(I73&gt;=50,"B+",IF(I73&gt;=40,"B",IF(I73&gt;=30,"C+",IF(I73&gt;=20,"C",IF(I73&gt;=10,"D+","D"))))))))))</x:f>
        <x:v>B</x:v>
      </x:c>
      <x:c r="K73" s="159" t="str">
        <x:v>미검증 승계·잠정</x:v>
      </x:c>
      <x:c r="L73" s="152" t="str">
        <x:v>구조점수 승계: 확인된 새 근거 없이 항목별 점수를 증감하지 않음. 최근 90일 검증된 가속도 근거 부족: 중립 가정 5점(실측 아님)</x:v>
      </x:c>
    </x:row>
    <x:row r="74" ht="94" customHeight="1">
      <x:c r="A74" s="157" t="n">
        <x:f>IF(I74="","",COUNTIF($I$5:$I$130,"&gt;"&amp;I74)+1)</x:f>
        <x:v>68</x:v>
      </x:c>
      <x:c r="B74" s="158" t="str">
        <x:v>アンスリューム</x:v>
      </x:c>
      <x:c r="C74" s="159" t="n">
        <x:v>12</x:v>
      </x:c>
      <x:c r="D74" s="159" t="n">
        <x:v>9</x:v>
      </x:c>
      <x:c r="E74" s="159" t="n">
        <x:v>6</x:v>
      </x:c>
      <x:c r="F74" s="159" t="n">
        <x:v>7</x:v>
      </x:c>
      <x:c r="G74" s="159" t="n">
        <x:v>5</x:v>
      </x:c>
      <x:c r="H74" s="159" t="n">
        <x:v>4</x:v>
      </x:c>
      <x:c r="I74" s="159" t="n">
        <x:f>IF(COUNT(C74:H74)=6,SUM(C74:H74),"")</x:f>
        <x:v>43</x:v>
      </x:c>
      <x:c r="J74" s="159" t="str">
        <x:f>IF(I74="","",IF(I74&gt;=90,"S+",IF(I74&gt;=80,"S",IF(I74&gt;=70,"A+",IF(I74&gt;=60,"A",IF(I74&gt;=50,"B+",IF(I74&gt;=40,"B",IF(I74&gt;=30,"C+",IF(I74&gt;=20,"C",IF(I74&gt;=10,"D+","D"))))))))))</x:f>
        <x:v>B</x:v>
      </x:c>
      <x:c r="K74" s="159" t="str">
        <x:v>미검증 승계·잠정</x:v>
      </x:c>
      <x:c r="L74" s="152" t="str">
        <x:v>구조점수 승계: 확인된 새 근거 없이 항목별 점수를 증감하지 않음. 최근 90일 검증된 가속도 근거 부족: 중립 가정 5점(실측 아님)</x:v>
      </x:c>
    </x:row>
    <x:row r="75" ht="94" customHeight="1">
      <x:c r="A75" s="157" t="n">
        <x:f>IF(I75="","",COUNTIF($I$5:$I$130,"&gt;"&amp;I75)+1)</x:f>
        <x:v>68</x:v>
      </x:c>
      <x:c r="B75" s="158" t="str">
        <x:v>ラフ×ラフ</x:v>
      </x:c>
      <x:c r="C75" s="159" t="n">
        <x:v>9</x:v>
      </x:c>
      <x:c r="D75" s="159" t="n">
        <x:v>7</x:v>
      </x:c>
      <x:c r="E75" s="159" t="n">
        <x:v>7</x:v>
      </x:c>
      <x:c r="F75" s="159" t="n">
        <x:v>9</x:v>
      </x:c>
      <x:c r="G75" s="159" t="n">
        <x:v>5</x:v>
      </x:c>
      <x:c r="H75" s="159" t="n">
        <x:v>6</x:v>
      </x:c>
      <x:c r="I75" s="159" t="n">
        <x:f>IF(COUNT(C75:H75)=6,SUM(C75:H75),"")</x:f>
        <x:v>43</x:v>
      </x:c>
      <x:c r="J75" s="159" t="str">
        <x:f>IF(I75="","",IF(I75&gt;=90,"S+",IF(I75&gt;=80,"S",IF(I75&gt;=70,"A+",IF(I75&gt;=60,"A",IF(I75&gt;=50,"B+",IF(I75&gt;=40,"B",IF(I75&gt;=30,"C+",IF(I75&gt;=20,"C",IF(I75&gt;=10,"D+","D"))))))))))</x:f>
        <x:v>B</x:v>
      </x:c>
      <x:c r="K75" s="159" t="str">
        <x:v>미검증 승계·잠정</x:v>
      </x:c>
      <x:c r="L75" s="152" t="str">
        <x:v>구조점수 승계: 확인된 새 근거 없이 항목별 점수를 증감하지 않음. 최근 90일 검증된 가속도 근거 부족: 중립 가정 5점(실측 아님)</x:v>
      </x:c>
    </x:row>
    <x:row r="76" ht="94" customHeight="1">
      <x:c r="A76" s="157" t="n">
        <x:f>IF(I76="","",COUNTIF($I$5:$I$130,"&gt;"&amp;I76)+1)</x:f>
        <x:v>72</x:v>
      </x:c>
      <x:c r="B76" s="158" t="str">
        <x:v>NEO JAPONISM</x:v>
      </x:c>
      <x:c r="C76" s="159" t="n">
        <x:v>11</x:v>
      </x:c>
      <x:c r="D76" s="159" t="n">
        <x:v>9</x:v>
      </x:c>
      <x:c r="E76" s="159" t="n">
        <x:v>7</x:v>
      </x:c>
      <x:c r="F76" s="159" t="n">
        <x:v>6</x:v>
      </x:c>
      <x:c r="G76" s="159" t="n">
        <x:v>5</x:v>
      </x:c>
      <x:c r="H76" s="159" t="n">
        <x:v>4</x:v>
      </x:c>
      <x:c r="I76" s="159" t="n">
        <x:f>IF(COUNT(C76:H76)=6,SUM(C76:H76),"")</x:f>
        <x:v>42</x:v>
      </x:c>
      <x:c r="J76" s="159" t="str">
        <x:f>IF(I76="","",IF(I76&gt;=90,"S+",IF(I76&gt;=80,"S",IF(I76&gt;=70,"A+",IF(I76&gt;=60,"A",IF(I76&gt;=50,"B+",IF(I76&gt;=40,"B",IF(I76&gt;=30,"C+",IF(I76&gt;=20,"C",IF(I76&gt;=10,"D+","D"))))))))))</x:f>
        <x:v>B</x:v>
      </x:c>
      <x:c r="K76" s="159" t="str">
        <x:v>미검증 승계·잠정</x:v>
      </x:c>
      <x:c r="L76" s="152" t="str">
        <x:v>구조점수 승계: 확인된 새 근거 없이 항목별 점수를 증감하지 않음. 최근 90일 검증된 가속도 근거 부족: 중립 가정 5점(실측 아님)</x:v>
      </x:c>
    </x:row>
    <x:row r="77" ht="94" customHeight="1">
      <x:c r="A77" s="157" t="n">
        <x:f>IF(I77="","",COUNTIF($I$5:$I$130,"&gt;"&amp;I77)+1)</x:f>
        <x:v>72</x:v>
      </x:c>
      <x:c r="B77" s="158" t="str">
        <x:v>衛星とカラテア</x:v>
      </x:c>
      <x:c r="C77" s="159" t="n">
        <x:v>12</x:v>
      </x:c>
      <x:c r="D77" s="159" t="n">
        <x:v>9</x:v>
      </x:c>
      <x:c r="E77" s="159" t="n">
        <x:v>6</x:v>
      </x:c>
      <x:c r="F77" s="159" t="n">
        <x:v>6</x:v>
      </x:c>
      <x:c r="G77" s="159" t="n">
        <x:v>5</x:v>
      </x:c>
      <x:c r="H77" s="159" t="n">
        <x:v>4</x:v>
      </x:c>
      <x:c r="I77" s="159" t="n">
        <x:f>IF(COUNT(C77:H77)=6,SUM(C77:H77),"")</x:f>
        <x:v>42</x:v>
      </x:c>
      <x:c r="J77" s="159" t="str">
        <x:f>IF(I77="","",IF(I77&gt;=90,"S+",IF(I77&gt;=80,"S",IF(I77&gt;=70,"A+",IF(I77&gt;=60,"A",IF(I77&gt;=50,"B+",IF(I77&gt;=40,"B",IF(I77&gt;=30,"C+",IF(I77&gt;=20,"C",IF(I77&gt;=10,"D+","D"))))))))))</x:f>
        <x:v>B</x:v>
      </x:c>
      <x:c r="K77" s="159" t="str">
        <x:v>미검증 승계·잠정</x:v>
      </x:c>
      <x:c r="L77" s="152" t="str">
        <x:v>구조점수 승계: 확인된 새 근거 없이 항목별 점수를 증감하지 않음. 최근 90일 검증된 가속도 근거 부족: 중립 가정 5점(실측 아님)</x:v>
      </x:c>
    </x:row>
    <x:row r="78" ht="94" customHeight="1">
      <x:c r="A78" s="157" t="n">
        <x:f>IF(I78="","",COUNTIF($I$5:$I$130,"&gt;"&amp;I78)+1)</x:f>
        <x:v>74</x:v>
      </x:c>
      <x:c r="B78" s="158" t="str">
        <x:v>Peel the Apple</x:v>
      </x:c>
      <x:c r="C78" s="159" t="n">
        <x:v>10</x:v>
      </x:c>
      <x:c r="D78" s="159" t="n">
        <x:v>8</x:v>
      </x:c>
      <x:c r="E78" s="159" t="n">
        <x:v>7</x:v>
      </x:c>
      <x:c r="F78" s="159" t="n">
        <x:v>7</x:v>
      </x:c>
      <x:c r="G78" s="159" t="n">
        <x:v>5</x:v>
      </x:c>
      <x:c r="H78" s="159" t="n">
        <x:v>4</x:v>
      </x:c>
      <x:c r="I78" s="159" t="n">
        <x:f>IF(COUNT(C78:H78)=6,SUM(C78:H78),"")</x:f>
        <x:v>41</x:v>
      </x:c>
      <x:c r="J78" s="159" t="str">
        <x:f>IF(I78="","",IF(I78&gt;=90,"S+",IF(I78&gt;=80,"S",IF(I78&gt;=70,"A+",IF(I78&gt;=60,"A",IF(I78&gt;=50,"B+",IF(I78&gt;=40,"B",IF(I78&gt;=30,"C+",IF(I78&gt;=20,"C",IF(I78&gt;=10,"D+","D"))))))))))</x:f>
        <x:v>B</x:v>
      </x:c>
      <x:c r="K78" s="159" t="str">
        <x:v>미검증 승계·잠정</x:v>
      </x:c>
      <x:c r="L78" s="152" t="str">
        <x:v>구조점수 승계: 확인된 새 근거 없이 항목별 점수를 증감하지 않음. 최근 90일 검증된 가속도 근거 부족: 중립 가정 5점(실측 아님)</x:v>
      </x:c>
    </x:row>
    <x:row r="79" ht="94" customHeight="1">
      <x:c r="A79" s="157" t="n">
        <x:f>IF(I79="","",COUNTIF($I$5:$I$130,"&gt;"&amp;I79)+1)</x:f>
        <x:v>74</x:v>
      </x:c>
      <x:c r="B79" s="158" t="str">
        <x:v>なみだ色の消しごむ</x:v>
      </x:c>
      <x:c r="C79" s="159" t="n">
        <x:v>10</x:v>
      </x:c>
      <x:c r="D79" s="159" t="n">
        <x:v>8</x:v>
      </x:c>
      <x:c r="E79" s="159" t="n">
        <x:v>6</x:v>
      </x:c>
      <x:c r="F79" s="159" t="n">
        <x:v>8</x:v>
      </x:c>
      <x:c r="G79" s="159" t="n">
        <x:v>5</x:v>
      </x:c>
      <x:c r="H79" s="159" t="n">
        <x:v>4</x:v>
      </x:c>
      <x:c r="I79" s="159" t="n">
        <x:f>IF(COUNT(C79:H79)=6,SUM(C79:H79),"")</x:f>
        <x:v>41</x:v>
      </x:c>
      <x:c r="J79" s="159" t="str">
        <x:f>IF(I79="","",IF(I79&gt;=90,"S+",IF(I79&gt;=80,"S",IF(I79&gt;=70,"A+",IF(I79&gt;=60,"A",IF(I79&gt;=50,"B+",IF(I79&gt;=40,"B",IF(I79&gt;=30,"C+",IF(I79&gt;=20,"C",IF(I79&gt;=10,"D+","D"))))))))))</x:f>
        <x:v>B</x:v>
      </x:c>
      <x:c r="K79" s="159" t="str">
        <x:v>미검증 승계·잠정</x:v>
      </x:c>
      <x:c r="L79" s="152" t="str">
        <x:v>구조점수 승계: 확인된 새 근거 없이 항목별 점수를 증감하지 않음. 최근 90일 검증된 가속도 근거 부족: 중립 가정 5점(실측 아님)</x:v>
      </x:c>
    </x:row>
    <x:row r="80" ht="94" customHeight="1">
      <x:c r="A80" s="157" t="n">
        <x:f>IF(I80="","",COUNTIF($I$5:$I$130,"&gt;"&amp;I80)+1)</x:f>
        <x:v>76</x:v>
      </x:c>
      <x:c r="B80" s="158" t="str">
        <x:v>#Mooove!</x:v>
      </x:c>
      <x:c r="C80" s="159" t="n">
        <x:v>7</x:v>
      </x:c>
      <x:c r="D80" s="159" t="n">
        <x:v>7</x:v>
      </x:c>
      <x:c r="E80" s="159" t="n">
        <x:v>7</x:v>
      </x:c>
      <x:c r="F80" s="159" t="n">
        <x:v>10</x:v>
      </x:c>
      <x:c r="G80" s="159" t="n">
        <x:v>5</x:v>
      </x:c>
      <x:c r="H80" s="159" t="n">
        <x:v>4</x:v>
      </x:c>
      <x:c r="I80" s="159" t="n">
        <x:f>IF(COUNT(C80:H80)=6,SUM(C80:H80),"")</x:f>
        <x:v>40</x:v>
      </x:c>
      <x:c r="J80" s="159" t="str">
        <x:f>IF(I80="","",IF(I80&gt;=90,"S+",IF(I80&gt;=80,"S",IF(I80&gt;=70,"A+",IF(I80&gt;=60,"A",IF(I80&gt;=50,"B+",IF(I80&gt;=40,"B",IF(I80&gt;=30,"C+",IF(I80&gt;=20,"C",IF(I80&gt;=10,"D+","D"))))))))))</x:f>
        <x:v>B</x:v>
      </x:c>
      <x:c r="K80" s="159" t="str">
        <x:v>미검증 승계·잠정</x:v>
      </x:c>
      <x:c r="L80" s="152" t="str">
        <x:v>구조점수 승계: 확인된 새 근거 없이 항목별 점수를 증감하지 않음. 최근 90일 검증된 가속도 근거 부족: 중립 가정 5점(실측 아님)</x:v>
      </x:c>
    </x:row>
    <x:row r="81" ht="94" customHeight="1">
      <x:c r="A81" s="157" t="n">
        <x:f>IF(I81="","",COUNTIF($I$5:$I$130,"&gt;"&amp;I81)+1)</x:f>
        <x:v>76</x:v>
      </x:c>
      <x:c r="B81" s="158" t="str">
        <x:v>LinQ</x:v>
      </x:c>
      <x:c r="C81" s="159" t="n">
        <x:v>9</x:v>
      </x:c>
      <x:c r="D81" s="159" t="n">
        <x:v>8</x:v>
      </x:c>
      <x:c r="E81" s="159" t="n">
        <x:v>8</x:v>
      </x:c>
      <x:c r="F81" s="159" t="n">
        <x:v>6</x:v>
      </x:c>
      <x:c r="G81" s="159" t="n">
        <x:v>5</x:v>
      </x:c>
      <x:c r="H81" s="159" t="n">
        <x:v>4</x:v>
      </x:c>
      <x:c r="I81" s="159" t="n">
        <x:f>IF(COUNT(C81:H81)=6,SUM(C81:H81),"")</x:f>
        <x:v>40</x:v>
      </x:c>
      <x:c r="J81" s="159" t="str">
        <x:f>IF(I81="","",IF(I81&gt;=90,"S+",IF(I81&gt;=80,"S",IF(I81&gt;=70,"A+",IF(I81&gt;=60,"A",IF(I81&gt;=50,"B+",IF(I81&gt;=40,"B",IF(I81&gt;=30,"C+",IF(I81&gt;=20,"C",IF(I81&gt;=10,"D+","D"))))))))))</x:f>
        <x:v>B</x:v>
      </x:c>
      <x:c r="K81" s="159" t="str">
        <x:v>미검증 승계·잠정</x:v>
      </x:c>
      <x:c r="L81" s="152" t="str">
        <x:v>구조점수 승계: 확인된 새 근거 없이 항목별 점수를 증감하지 않음. 최근 90일 검증된 가속도 근거 부족: 중립 가정 5점(실측 아님)</x:v>
      </x:c>
    </x:row>
    <x:row r="82" ht="94" customHeight="1">
      <x:c r="A82" s="157" t="n">
        <x:f>IF(I82="","",COUNTIF($I$5:$I$130,"&gt;"&amp;I82)+1)</x:f>
        <x:v>78</x:v>
      </x:c>
      <x:c r="B82" s="158" t="str">
        <x:v>#よーよーよー</x:v>
      </x:c>
      <x:c r="C82" s="159" t="n">
        <x:v>7</x:v>
      </x:c>
      <x:c r="D82" s="159" t="n">
        <x:v>7</x:v>
      </x:c>
      <x:c r="E82" s="159" t="n">
        <x:v>7</x:v>
      </x:c>
      <x:c r="F82" s="159" t="n">
        <x:v>10</x:v>
      </x:c>
      <x:c r="G82" s="159" t="n">
        <x:v>5</x:v>
      </x:c>
      <x:c r="H82" s="159" t="n">
        <x:v>3</x:v>
      </x:c>
      <x:c r="I82" s="159" t="n">
        <x:f>IF(COUNT(C82:H82)=6,SUM(C82:H82),"")</x:f>
        <x:v>39</x:v>
      </x:c>
      <x:c r="J82" s="159" t="str">
        <x:f>IF(I82="","",IF(I82&gt;=90,"S+",IF(I82&gt;=80,"S",IF(I82&gt;=70,"A+",IF(I82&gt;=60,"A",IF(I82&gt;=50,"B+",IF(I82&gt;=40,"B",IF(I82&gt;=30,"C+",IF(I82&gt;=20,"C",IF(I82&gt;=10,"D+","D"))))))))))</x:f>
        <x:v>C+</x:v>
      </x:c>
      <x:c r="K82" s="159" t="str">
        <x:v>미검증 승계·잠정</x:v>
      </x:c>
      <x:c r="L82" s="152" t="str">
        <x:v>구조점수 승계: 확인된 새 근거 없이 항목별 점수를 증감하지 않음. 최근 90일 검증된 가속도 근거 부족: 중립 가정 5점(실측 아님)</x:v>
      </x:c>
    </x:row>
    <x:row r="83" ht="94" customHeight="1">
      <x:c r="A83" s="157" t="n">
        <x:f>IF(I83="","",COUNTIF($I$5:$I$130,"&gt;"&amp;I83)+1)</x:f>
        <x:v>78</x:v>
      </x:c>
      <x:c r="B83" s="158" t="str">
        <x:v>GILTY x GILTY</x:v>
      </x:c>
      <x:c r="C83" s="159" t="n">
        <x:v>11</x:v>
      </x:c>
      <x:c r="D83" s="159" t="n">
        <x:v>8</x:v>
      </x:c>
      <x:c r="E83" s="159" t="n">
        <x:v>5</x:v>
      </x:c>
      <x:c r="F83" s="159" t="n">
        <x:v>7</x:v>
      </x:c>
      <x:c r="G83" s="159" t="n">
        <x:v>5</x:v>
      </x:c>
      <x:c r="H83" s="159" t="n">
        <x:v>3</x:v>
      </x:c>
      <x:c r="I83" s="159" t="n">
        <x:f>IF(COUNT(C83:H83)=6,SUM(C83:H83),"")</x:f>
        <x:v>39</x:v>
      </x:c>
      <x:c r="J83" s="159" t="str">
        <x:f>IF(I83="","",IF(I83&gt;=90,"S+",IF(I83&gt;=80,"S",IF(I83&gt;=70,"A+",IF(I83&gt;=60,"A",IF(I83&gt;=50,"B+",IF(I83&gt;=40,"B",IF(I83&gt;=30,"C+",IF(I83&gt;=20,"C",IF(I83&gt;=10,"D+","D"))))))))))</x:f>
        <x:v>C+</x:v>
      </x:c>
      <x:c r="K83" s="159" t="str">
        <x:v>미검증 승계·잠정</x:v>
      </x:c>
      <x:c r="L83" s="152" t="str">
        <x:v>구조점수 승계: 확인된 새 근거 없이 항목별 점수를 증감하지 않음. 최근 90일 검증된 가속도 근거 부족: 중립 가정 5점(실측 아님)</x:v>
      </x:c>
    </x:row>
    <x:row r="84" ht="94" customHeight="1">
      <x:c r="A84" s="157" t="n">
        <x:f>IF(I84="","",COUNTIF($I$5:$I$130,"&gt;"&amp;I84)+1)</x:f>
        <x:v>78</x:v>
      </x:c>
      <x:c r="B84" s="158" t="str">
        <x:v>KiSS KiSS</x:v>
      </x:c>
      <x:c r="C84" s="159" t="n">
        <x:v>10</x:v>
      </x:c>
      <x:c r="D84" s="159" t="n">
        <x:v>8</x:v>
      </x:c>
      <x:c r="E84" s="159" t="n">
        <x:v>6</x:v>
      </x:c>
      <x:c r="F84" s="159" t="n">
        <x:v>6</x:v>
      </x:c>
      <x:c r="G84" s="159" t="n">
        <x:v>5</x:v>
      </x:c>
      <x:c r="H84" s="159" t="n">
        <x:v>4</x:v>
      </x:c>
      <x:c r="I84" s="159" t="n">
        <x:f>IF(COUNT(C84:H84)=6,SUM(C84:H84),"")</x:f>
        <x:v>39</x:v>
      </x:c>
      <x:c r="J84" s="159" t="str">
        <x:f>IF(I84="","",IF(I84&gt;=90,"S+",IF(I84&gt;=80,"S",IF(I84&gt;=70,"A+",IF(I84&gt;=60,"A",IF(I84&gt;=50,"B+",IF(I84&gt;=40,"B",IF(I84&gt;=30,"C+",IF(I84&gt;=20,"C",IF(I84&gt;=10,"D+","D"))))))))))</x:f>
        <x:v>C+</x:v>
      </x:c>
      <x:c r="K84" s="159" t="str">
        <x:v>미검증 승계·잠정</x:v>
      </x:c>
      <x:c r="L84" s="152" t="str">
        <x:v>구조점수 승계: 확인된 새 근거 없이 항목별 점수를 증감하지 않음. 최근 90일 검증된 가속도 근거 부족: 중립 가정 5점(실측 아님)</x:v>
      </x:c>
    </x:row>
    <x:row r="85" ht="94" customHeight="1">
      <x:c r="A85" s="157" t="n">
        <x:f>IF(I85="","",COUNTIF($I$5:$I$130,"&gt;"&amp;I85)+1)</x:f>
        <x:v>78</x:v>
      </x:c>
      <x:c r="B85" s="158" t="str">
        <x:v>Rain Tree</x:v>
      </x:c>
      <x:c r="C85" s="159" t="n">
        <x:v>12</x:v>
      </x:c>
      <x:c r="D85" s="159" t="n">
        <x:v>8</x:v>
      </x:c>
      <x:c r="E85" s="159" t="n">
        <x:v>5</x:v>
      </x:c>
      <x:c r="F85" s="159" t="n">
        <x:v>5</x:v>
      </x:c>
      <x:c r="G85" s="159" t="n">
        <x:v>5</x:v>
      </x:c>
      <x:c r="H85" s="159" t="n">
        <x:v>4</x:v>
      </x:c>
      <x:c r="I85" s="159" t="n">
        <x:f>IF(COUNT(C85:H85)=6,SUM(C85:H85),"")</x:f>
        <x:v>39</x:v>
      </x:c>
      <x:c r="J85" s="159" t="str">
        <x:f>IF(I85="","",IF(I85&gt;=90,"S+",IF(I85&gt;=80,"S",IF(I85&gt;=70,"A+",IF(I85&gt;=60,"A",IF(I85&gt;=50,"B+",IF(I85&gt;=40,"B",IF(I85&gt;=30,"C+",IF(I85&gt;=20,"C",IF(I85&gt;=10,"D+","D"))))))))))</x:f>
        <x:v>C+</x:v>
      </x:c>
      <x:c r="K85" s="159" t="str">
        <x:v>미검증 승계·잠정</x:v>
      </x:c>
      <x:c r="L85" s="152" t="str">
        <x:v>구조점수 승계: 확인된 새 근거 없이 항목별 점수를 증감하지 않음. 최근 90일 검증된 가속도 근거 부족: 중립 가정 5점(실측 아님)</x:v>
      </x:c>
    </x:row>
    <x:row r="86" ht="94" customHeight="1">
      <x:c r="A86" s="157" t="n">
        <x:f>IF(I86="","",COUNTIF($I$5:$I$130,"&gt;"&amp;I86)+1)</x:f>
        <x:v>78</x:v>
      </x:c>
      <x:c r="B86" s="158" t="str">
        <x:v>TENRIN</x:v>
      </x:c>
      <x:c r="C86" s="159" t="n">
        <x:v>11</x:v>
      </x:c>
      <x:c r="D86" s="159" t="n">
        <x:v>7</x:v>
      </x:c>
      <x:c r="E86" s="159" t="n">
        <x:v>5</x:v>
      </x:c>
      <x:c r="F86" s="159" t="n">
        <x:v>7</x:v>
      </x:c>
      <x:c r="G86" s="159" t="n">
        <x:v>5</x:v>
      </x:c>
      <x:c r="H86" s="159" t="n">
        <x:v>4</x:v>
      </x:c>
      <x:c r="I86" s="159" t="n">
        <x:f>IF(COUNT(C86:H86)=6,SUM(C86:H86),"")</x:f>
        <x:v>39</x:v>
      </x:c>
      <x:c r="J86" s="159" t="str">
        <x:f>IF(I86="","",IF(I86&gt;=90,"S+",IF(I86&gt;=80,"S",IF(I86&gt;=70,"A+",IF(I86&gt;=60,"A",IF(I86&gt;=50,"B+",IF(I86&gt;=40,"B",IF(I86&gt;=30,"C+",IF(I86&gt;=20,"C",IF(I86&gt;=10,"D+","D"))))))))))</x:f>
        <x:v>C+</x:v>
      </x:c>
      <x:c r="K86" s="159" t="str">
        <x:v>미검증 승계·잠정</x:v>
      </x:c>
      <x:c r="L86" s="152" t="str">
        <x:v>구조점수 승계: 확인된 새 근거 없이 항목별 점수를 증감하지 않음. 최근 90일 검증된 가속도 근거 부족: 중립 가정 5점(실측 아님)</x:v>
      </x:c>
    </x:row>
    <x:row r="87" ht="94" customHeight="1">
      <x:c r="A87" s="157" t="n">
        <x:f>IF(I87="","",COUNTIF($I$5:$I$130,"&gt;"&amp;I87)+1)</x:f>
        <x:v>78</x:v>
      </x:c>
      <x:c r="B87" s="158" t="str">
        <x:v>THE ORCHESTRA TOKYO</x:v>
      </x:c>
      <x:c r="C87" s="159" t="n">
        <x:v>11</x:v>
      </x:c>
      <x:c r="D87" s="159" t="n">
        <x:v>8</x:v>
      </x:c>
      <x:c r="E87" s="159" t="n">
        <x:v>5</x:v>
      </x:c>
      <x:c r="F87" s="159" t="n">
        <x:v>6</x:v>
      </x:c>
      <x:c r="G87" s="159" t="n">
        <x:v>5</x:v>
      </x:c>
      <x:c r="H87" s="159" t="n">
        <x:v>4</x:v>
      </x:c>
      <x:c r="I87" s="159" t="n">
        <x:f>IF(COUNT(C87:H87)=6,SUM(C87:H87),"")</x:f>
        <x:v>39</x:v>
      </x:c>
      <x:c r="J87" s="159" t="str">
        <x:f>IF(I87="","",IF(I87&gt;=90,"S+",IF(I87&gt;=80,"S",IF(I87&gt;=70,"A+",IF(I87&gt;=60,"A",IF(I87&gt;=50,"B+",IF(I87&gt;=40,"B",IF(I87&gt;=30,"C+",IF(I87&gt;=20,"C",IF(I87&gt;=10,"D+","D"))))))))))</x:f>
        <x:v>C+</x:v>
      </x:c>
      <x:c r="K87" s="159" t="str">
        <x:v>미검증 승계·잠정</x:v>
      </x:c>
      <x:c r="L87" s="152" t="str">
        <x:v>구조점수 승계: 확인된 새 근거 없이 항목별 점수를 증감하지 않음. 최근 90일 검증된 가속도 근거 부족: 중립 가정 5점(실측 아님)</x:v>
      </x:c>
    </x:row>
    <x:row r="88" ht="94" customHeight="1">
      <x:c r="A88" s="157" t="n">
        <x:f>IF(I88="","",COUNTIF($I$5:$I$130,"&gt;"&amp;I88)+1)</x:f>
        <x:v>78</x:v>
      </x:c>
      <x:c r="B88" s="158" t="str">
        <x:v>アップアップガールズ（仮）</x:v>
      </x:c>
      <x:c r="C88" s="159" t="n">
        <x:v>10</x:v>
      </x:c>
      <x:c r="D88" s="159" t="n">
        <x:v>7</x:v>
      </x:c>
      <x:c r="E88" s="159" t="n">
        <x:v>8</x:v>
      </x:c>
      <x:c r="F88" s="159" t="n">
        <x:v>5</x:v>
      </x:c>
      <x:c r="G88" s="159" t="n">
        <x:v>5</x:v>
      </x:c>
      <x:c r="H88" s="159" t="n">
        <x:v>4</x:v>
      </x:c>
      <x:c r="I88" s="159" t="n">
        <x:f>IF(COUNT(C88:H88)=6,SUM(C88:H88),"")</x:f>
        <x:v>39</x:v>
      </x:c>
      <x:c r="J88" s="159" t="str">
        <x:f>IF(I88="","",IF(I88&gt;=90,"S+",IF(I88&gt;=80,"S",IF(I88&gt;=70,"A+",IF(I88&gt;=60,"A",IF(I88&gt;=50,"B+",IF(I88&gt;=40,"B",IF(I88&gt;=30,"C+",IF(I88&gt;=20,"C",IF(I88&gt;=10,"D+","D"))))))))))</x:f>
        <x:v>C+</x:v>
      </x:c>
      <x:c r="K88" s="159" t="str">
        <x:v>미검증 승계·잠정</x:v>
      </x:c>
      <x:c r="L88" s="152" t="str">
        <x:v>구조점수 승계: 확인된 새 근거 없이 항목별 점수를 증감하지 않음. 최근 90일 검증된 가속도 근거 부족: 중립 가정 5점(실측 아님)</x:v>
      </x:c>
    </x:row>
    <x:row r="89" ht="94" customHeight="1">
      <x:c r="A89" s="157" t="n">
        <x:f>IF(I89="","",COUNTIF($I$5:$I$130,"&gt;"&amp;I89)+1)</x:f>
        <x:v>78</x:v>
      </x:c>
      <x:c r="B89" s="158" t="str">
        <x:v>ドラマチックレコード</x:v>
      </x:c>
      <x:c r="C89" s="159" t="n">
        <x:v>10</x:v>
      </x:c>
      <x:c r="D89" s="159" t="n">
        <x:v>8</x:v>
      </x:c>
      <x:c r="E89" s="159" t="n">
        <x:v>6</x:v>
      </x:c>
      <x:c r="F89" s="159" t="n">
        <x:v>7</x:v>
      </x:c>
      <x:c r="G89" s="159" t="n">
        <x:v>5</x:v>
      </x:c>
      <x:c r="H89" s="159" t="n">
        <x:v>3</x:v>
      </x:c>
      <x:c r="I89" s="159" t="n">
        <x:f>IF(COUNT(C89:H89)=6,SUM(C89:H89),"")</x:f>
        <x:v>39</x:v>
      </x:c>
      <x:c r="J89" s="159" t="str">
        <x:f>IF(I89="","",IF(I89&gt;=90,"S+",IF(I89&gt;=80,"S",IF(I89&gt;=70,"A+",IF(I89&gt;=60,"A",IF(I89&gt;=50,"B+",IF(I89&gt;=40,"B",IF(I89&gt;=30,"C+",IF(I89&gt;=20,"C",IF(I89&gt;=10,"D+","D"))))))))))</x:f>
        <x:v>C+</x:v>
      </x:c>
      <x:c r="K89" s="159" t="str">
        <x:v>미검증 승계·잠정</x:v>
      </x:c>
      <x:c r="L89" s="152" t="str">
        <x:v>구조점수 승계: 확인된 새 근거 없이 항목별 점수를 증감하지 않음. 최근 90일 검증된 가속도 근거 부족: 중립 가정 5점(실측 아님)</x:v>
      </x:c>
    </x:row>
    <x:row r="90" ht="94" customHeight="1">
      <x:c r="A90" s="157" t="n">
        <x:f>IF(I90="","",COUNTIF($I$5:$I$130,"&gt;"&amp;I90)+1)</x:f>
        <x:v>78</x:v>
      </x:c>
      <x:c r="B90" s="158" t="str">
        <x:v>純情のアフィリア</x:v>
      </x:c>
      <x:c r="C90" s="159" t="n">
        <x:v>9</x:v>
      </x:c>
      <x:c r="D90" s="159" t="n">
        <x:v>7</x:v>
      </x:c>
      <x:c r="E90" s="159" t="n">
        <x:v>8</x:v>
      </x:c>
      <x:c r="F90" s="159" t="n">
        <x:v>6</x:v>
      </x:c>
      <x:c r="G90" s="159" t="n">
        <x:v>5</x:v>
      </x:c>
      <x:c r="H90" s="159" t="n">
        <x:v>4</x:v>
      </x:c>
      <x:c r="I90" s="159" t="n">
        <x:f>IF(COUNT(C90:H90)=6,SUM(C90:H90),"")</x:f>
        <x:v>39</x:v>
      </x:c>
      <x:c r="J90" s="159" t="str">
        <x:f>IF(I90="","",IF(I90&gt;=90,"S+",IF(I90&gt;=80,"S",IF(I90&gt;=70,"A+",IF(I90&gt;=60,"A",IF(I90&gt;=50,"B+",IF(I90&gt;=40,"B",IF(I90&gt;=30,"C+",IF(I90&gt;=20,"C",IF(I90&gt;=10,"D+","D"))))))))))</x:f>
        <x:v>C+</x:v>
      </x:c>
      <x:c r="K90" s="159" t="str">
        <x:v>미검증 승계·잠정</x:v>
      </x:c>
      <x:c r="L90" s="152" t="str">
        <x:v>구조점수 승계: 확인된 새 근거 없이 항목별 점수를 증감하지 않음. 최근 90일 검증된 가속도 근거 부족: 중립 가정 5점(실측 아님)</x:v>
      </x:c>
    </x:row>
    <x:row r="91" ht="94" customHeight="1">
      <x:c r="A91" s="157" t="n">
        <x:f>IF(I91="","",COUNTIF($I$5:$I$130,"&gt;"&amp;I91)+1)</x:f>
        <x:v>87</x:v>
      </x:c>
      <x:c r="B91" s="158" t="str">
        <x:v>AsIs</x:v>
      </x:c>
      <x:c r="C91" s="159" t="n">
        <x:v>9</x:v>
      </x:c>
      <x:c r="D91" s="159" t="n">
        <x:v>7</x:v>
      </x:c>
      <x:c r="E91" s="159" t="n">
        <x:v>5</x:v>
      </x:c>
      <x:c r="F91" s="159" t="n">
        <x:v>8</x:v>
      </x:c>
      <x:c r="G91" s="159" t="n">
        <x:v>5</x:v>
      </x:c>
      <x:c r="H91" s="159" t="n">
        <x:v>4</x:v>
      </x:c>
      <x:c r="I91" s="159" t="n">
        <x:f>IF(COUNT(C91:H91)=6,SUM(C91:H91),"")</x:f>
        <x:v>38</x:v>
      </x:c>
      <x:c r="J91" s="159" t="str">
        <x:f>IF(I91="","",IF(I91&gt;=90,"S+",IF(I91&gt;=80,"S",IF(I91&gt;=70,"A+",IF(I91&gt;=60,"A",IF(I91&gt;=50,"B+",IF(I91&gt;=40,"B",IF(I91&gt;=30,"C+",IF(I91&gt;=20,"C",IF(I91&gt;=10,"D+","D"))))))))))</x:f>
        <x:v>C+</x:v>
      </x:c>
      <x:c r="K91" s="159" t="str">
        <x:v>미검증 승계·잠정</x:v>
      </x:c>
      <x:c r="L91" s="152" t="str">
        <x:v>구조점수 승계: 확인된 새 근거 없이 항목별 점수를 증감하지 않음. 최근 90일 검증된 가속도 근거 부족: 중립 가정 5점(실측 아님)</x:v>
      </x:c>
    </x:row>
    <x:row r="92" ht="94" customHeight="1">
      <x:c r="A92" s="157" t="n">
        <x:f>IF(I92="","",COUNTIF($I$5:$I$130,"&gt;"&amp;I92)+1)</x:f>
        <x:v>87</x:v>
      </x:c>
      <x:c r="B92" s="158" t="str">
        <x:v>fav me</x:v>
      </x:c>
      <x:c r="C92" s="159" t="n">
        <x:v>9</x:v>
      </x:c>
      <x:c r="D92" s="159" t="n">
        <x:v>7</x:v>
      </x:c>
      <x:c r="E92" s="159" t="n">
        <x:v>5</x:v>
      </x:c>
      <x:c r="F92" s="159" t="n">
        <x:v>8</x:v>
      </x:c>
      <x:c r="G92" s="159" t="n">
        <x:v>5</x:v>
      </x:c>
      <x:c r="H92" s="159" t="n">
        <x:v>4</x:v>
      </x:c>
      <x:c r="I92" s="159" t="n">
        <x:f>IF(COUNT(C92:H92)=6,SUM(C92:H92),"")</x:f>
        <x:v>38</x:v>
      </x:c>
      <x:c r="J92" s="159" t="str">
        <x:f>IF(I92="","",IF(I92&gt;=90,"S+",IF(I92&gt;=80,"S",IF(I92&gt;=70,"A+",IF(I92&gt;=60,"A",IF(I92&gt;=50,"B+",IF(I92&gt;=40,"B",IF(I92&gt;=30,"C+",IF(I92&gt;=20,"C",IF(I92&gt;=10,"D+","D"))))))))))</x:f>
        <x:v>C+</x:v>
      </x:c>
      <x:c r="K92" s="159" t="str">
        <x:v>미검증 승계·잠정</x:v>
      </x:c>
      <x:c r="L92" s="152" t="str">
        <x:v>구조점수 승계: 확인된 새 근거 없이 항목별 점수를 증감하지 않음. 최근 90일 검증된 가속도 근거 부족: 중립 가정 5점(실측 아님)</x:v>
      </x:c>
    </x:row>
    <x:row r="93" ht="94" customHeight="1">
      <x:c r="A93" s="157" t="n">
        <x:f>IF(I93="","",COUNTIF($I$5:$I$130,"&gt;"&amp;I93)+1)</x:f>
        <x:v>87</x:v>
      </x:c>
      <x:c r="B93" s="158" t="str">
        <x:v>ジエメイ</x:v>
      </x:c>
      <x:c r="C93" s="159" t="n">
        <x:v>11</x:v>
      </x:c>
      <x:c r="D93" s="159" t="n">
        <x:v>8</x:v>
      </x:c>
      <x:c r="E93" s="159" t="n">
        <x:v>5</x:v>
      </x:c>
      <x:c r="F93" s="159" t="n">
        <x:v>6</x:v>
      </x:c>
      <x:c r="G93" s="159" t="n">
        <x:v>5</x:v>
      </x:c>
      <x:c r="H93" s="159" t="n">
        <x:v>3</x:v>
      </x:c>
      <x:c r="I93" s="159" t="n">
        <x:f>IF(COUNT(C93:H93)=6,SUM(C93:H93),"")</x:f>
        <x:v>38</x:v>
      </x:c>
      <x:c r="J93" s="159" t="str">
        <x:f>IF(I93="","",IF(I93&gt;=90,"S+",IF(I93&gt;=80,"S",IF(I93&gt;=70,"A+",IF(I93&gt;=60,"A",IF(I93&gt;=50,"B+",IF(I93&gt;=40,"B",IF(I93&gt;=30,"C+",IF(I93&gt;=20,"C",IF(I93&gt;=10,"D+","D"))))))))))</x:f>
        <x:v>C+</x:v>
      </x:c>
      <x:c r="K93" s="159" t="str">
        <x:v>미검증 승계·잠정</x:v>
      </x:c>
      <x:c r="L93" s="152" t="str">
        <x:v>구조점수 승계: 확인된 새 근거 없이 항목별 점수를 증감하지 않음. 최근 90일 검증된 가속도 근거 부족: 중립 가정 5점(실측 아님)</x:v>
      </x:c>
    </x:row>
    <x:row r="94" ht="94" customHeight="1">
      <x:c r="A94" s="157" t="n">
        <x:f>IF(I94="","",COUNTIF($I$5:$I$130,"&gt;"&amp;I94)+1)</x:f>
        <x:v>87</x:v>
      </x:c>
      <x:c r="B94" s="158" t="str">
        <x:v>マジカル・パンチライン</x:v>
      </x:c>
      <x:c r="C94" s="159" t="n">
        <x:v>8</x:v>
      </x:c>
      <x:c r="D94" s="159" t="n">
        <x:v>7</x:v>
      </x:c>
      <x:c r="E94" s="159" t="n">
        <x:v>7</x:v>
      </x:c>
      <x:c r="F94" s="159" t="n">
        <x:v>7</x:v>
      </x:c>
      <x:c r="G94" s="159" t="n">
        <x:v>5</x:v>
      </x:c>
      <x:c r="H94" s="159" t="n">
        <x:v>4</x:v>
      </x:c>
      <x:c r="I94" s="159" t="n">
        <x:f>IF(COUNT(C94:H94)=6,SUM(C94:H94),"")</x:f>
        <x:v>38</x:v>
      </x:c>
      <x:c r="J94" s="159" t="str">
        <x:f>IF(I94="","",IF(I94&gt;=90,"S+",IF(I94&gt;=80,"S",IF(I94&gt;=70,"A+",IF(I94&gt;=60,"A",IF(I94&gt;=50,"B+",IF(I94&gt;=40,"B",IF(I94&gt;=30,"C+",IF(I94&gt;=20,"C",IF(I94&gt;=10,"D+","D"))))))))))</x:f>
        <x:v>C+</x:v>
      </x:c>
      <x:c r="K94" s="159" t="str">
        <x:v>미검증 승계·잠정</x:v>
      </x:c>
      <x:c r="L94" s="152" t="str">
        <x:v>구조점수 승계: 확인된 새 근거 없이 항목별 점수를 증감하지 않음. 최근 90일 검증된 가속도 근거 부족: 중립 가정 5점(실측 아님)</x:v>
      </x:c>
    </x:row>
    <x:row r="95" ht="94" customHeight="1">
      <x:c r="A95" s="157" t="n">
        <x:f>IF(I95="","",COUNTIF($I$5:$I$130,"&gt;"&amp;I95)+1)</x:f>
        <x:v>87</x:v>
      </x:c>
      <x:c r="B95" s="158" t="str">
        <x:v>二丁目の魁カミングアウト</x:v>
      </x:c>
      <x:c r="C95" s="159" t="n">
        <x:v>10</x:v>
      </x:c>
      <x:c r="D95" s="159" t="n">
        <x:v>8</x:v>
      </x:c>
      <x:c r="E95" s="159" t="n">
        <x:v>6</x:v>
      </x:c>
      <x:c r="F95" s="159" t="n">
        <x:v>5</x:v>
      </x:c>
      <x:c r="G95" s="159" t="n">
        <x:v>5</x:v>
      </x:c>
      <x:c r="H95" s="159" t="n">
        <x:v>4</x:v>
      </x:c>
      <x:c r="I95" s="159" t="n">
        <x:f>IF(COUNT(C95:H95)=6,SUM(C95:H95),"")</x:f>
        <x:v>38</x:v>
      </x:c>
      <x:c r="J95" s="159" t="str">
        <x:f>IF(I95="","",IF(I95&gt;=90,"S+",IF(I95&gt;=80,"S",IF(I95&gt;=70,"A+",IF(I95&gt;=60,"A",IF(I95&gt;=50,"B+",IF(I95&gt;=40,"B",IF(I95&gt;=30,"C+",IF(I95&gt;=20,"C",IF(I95&gt;=10,"D+","D"))))))))))</x:f>
        <x:v>C+</x:v>
      </x:c>
      <x:c r="K95" s="159" t="str">
        <x:v>미검증 승계·잠정</x:v>
      </x:c>
      <x:c r="L95" s="152" t="str">
        <x:v>구조점수 승계: 확인된 새 근거 없이 항목별 점수를 증감하지 않음. 최근 90일 검증된 가속도 근거 부족: 중립 가정 5점(실측 아님)</x:v>
      </x:c>
    </x:row>
    <x:row r="96" ht="94" customHeight="1">
      <x:c r="A96" s="157" t="n">
        <x:f>IF(I96="","",COUNTIF($I$5:$I$130,"&gt;"&amp;I96)+1)</x:f>
        <x:v>92</x:v>
      </x:c>
      <x:c r="B96" s="158" t="str">
        <x:v>STAiNY</x:v>
      </x:c>
      <x:c r="C96" s="159" t="n">
        <x:v>9</x:v>
      </x:c>
      <x:c r="D96" s="159" t="n">
        <x:v>7</x:v>
      </x:c>
      <x:c r="E96" s="159" t="n">
        <x:v>5</x:v>
      </x:c>
      <x:c r="F96" s="159" t="n">
        <x:v>7</x:v>
      </x:c>
      <x:c r="G96" s="159" t="n">
        <x:v>5</x:v>
      </x:c>
      <x:c r="H96" s="159" t="n">
        <x:v>4</x:v>
      </x:c>
      <x:c r="I96" s="159" t="n">
        <x:f>IF(COUNT(C96:H96)=6,SUM(C96:H96),"")</x:f>
        <x:v>37</x:v>
      </x:c>
      <x:c r="J96" s="159" t="str">
        <x:f>IF(I96="","",IF(I96&gt;=90,"S+",IF(I96&gt;=80,"S",IF(I96&gt;=70,"A+",IF(I96&gt;=60,"A",IF(I96&gt;=50,"B+",IF(I96&gt;=40,"B",IF(I96&gt;=30,"C+",IF(I96&gt;=20,"C",IF(I96&gt;=10,"D+","D"))))))))))</x:f>
        <x:v>C+</x:v>
      </x:c>
      <x:c r="K96" s="159" t="str">
        <x:v>미검증 승계·잠정</x:v>
      </x:c>
      <x:c r="L96" s="152" t="str">
        <x:v>구조점수 승계: 확인된 새 근거 없이 항목별 점수를 증감하지 않음. 최근 90일 검증된 가속도 근거 부족: 중립 가정 5점(실측 아님)</x:v>
      </x:c>
    </x:row>
    <x:row r="97" ht="94" customHeight="1">
      <x:c r="A97" s="157" t="n">
        <x:f>IF(I97="","",COUNTIF($I$5:$I$130,"&gt;"&amp;I97)+1)</x:f>
        <x:v>92</x:v>
      </x:c>
      <x:c r="B97" s="158" t="str">
        <x:v>THE ENCORE</x:v>
      </x:c>
      <x:c r="C97" s="159" t="n">
        <x:v>10</x:v>
      </x:c>
      <x:c r="D97" s="159" t="n">
        <x:v>7</x:v>
      </x:c>
      <x:c r="E97" s="159" t="n">
        <x:v>5</x:v>
      </x:c>
      <x:c r="F97" s="159" t="n">
        <x:v>7</x:v>
      </x:c>
      <x:c r="G97" s="159" t="n">
        <x:v>5</x:v>
      </x:c>
      <x:c r="H97" s="159" t="n">
        <x:v>3</x:v>
      </x:c>
      <x:c r="I97" s="159" t="n">
        <x:f>IF(COUNT(C97:H97)=6,SUM(C97:H97),"")</x:f>
        <x:v>37</x:v>
      </x:c>
      <x:c r="J97" s="159" t="str">
        <x:f>IF(I97="","",IF(I97&gt;=90,"S+",IF(I97&gt;=80,"S",IF(I97&gt;=70,"A+",IF(I97&gt;=60,"A",IF(I97&gt;=50,"B+",IF(I97&gt;=40,"B",IF(I97&gt;=30,"C+",IF(I97&gt;=20,"C",IF(I97&gt;=10,"D+","D"))))))))))</x:f>
        <x:v>C+</x:v>
      </x:c>
      <x:c r="K97" s="159" t="str">
        <x:v>미검증 승계·잠정</x:v>
      </x:c>
      <x:c r="L97" s="152" t="str">
        <x:v>구조점수 승계: 확인된 새 근거 없이 항목별 점수를 증감하지 않음. 최근 90일 검증된 가속도 근거 부족: 중립 가정 5점(실측 아님)</x:v>
      </x:c>
    </x:row>
    <x:row r="98" ht="94" customHeight="1">
      <x:c r="A98" s="157" t="n">
        <x:f>IF(I98="","",COUNTIF($I$5:$I$130,"&gt;"&amp;I98)+1)</x:f>
        <x:v>92</x:v>
      </x:c>
      <x:c r="B98" s="158" t="str">
        <x:v>クマリデパート</x:v>
      </x:c>
      <x:c r="C98" s="159" t="n">
        <x:v>9</x:v>
      </x:c>
      <x:c r="D98" s="159" t="n">
        <x:v>7</x:v>
      </x:c>
      <x:c r="E98" s="159" t="n">
        <x:v>6</x:v>
      </x:c>
      <x:c r="F98" s="159" t="n">
        <x:v>6</x:v>
      </x:c>
      <x:c r="G98" s="159" t="n">
        <x:v>5</x:v>
      </x:c>
      <x:c r="H98" s="159" t="n">
        <x:v>4</x:v>
      </x:c>
      <x:c r="I98" s="159" t="n">
        <x:f>IF(COUNT(C98:H98)=6,SUM(C98:H98),"")</x:f>
        <x:v>37</x:v>
      </x:c>
      <x:c r="J98" s="159" t="str">
        <x:f>IF(I98="","",IF(I98&gt;=90,"S+",IF(I98&gt;=80,"S",IF(I98&gt;=70,"A+",IF(I98&gt;=60,"A",IF(I98&gt;=50,"B+",IF(I98&gt;=40,"B",IF(I98&gt;=30,"C+",IF(I98&gt;=20,"C",IF(I98&gt;=10,"D+","D"))))))))))</x:f>
        <x:v>C+</x:v>
      </x:c>
      <x:c r="K98" s="159" t="str">
        <x:v>미검증 승계·잠정</x:v>
      </x:c>
      <x:c r="L98" s="152" t="str">
        <x:v>구조점수 승계: 확인된 새 근거 없이 항목별 점수를 증감하지 않음. 최근 90일 검증된 가속도 근거 부족: 중립 가정 5점(실측 아님)</x:v>
      </x:c>
    </x:row>
    <x:row r="99" ht="94" customHeight="1">
      <x:c r="A99" s="157" t="n">
        <x:f>IF(I99="","",COUNTIF($I$5:$I$130,"&gt;"&amp;I99)+1)</x:f>
        <x:v>95</x:v>
      </x:c>
      <x:c r="B99" s="158" t="str">
        <x:v>chuLa</x:v>
      </x:c>
      <x:c r="C99" s="159" t="n">
        <x:v>9</x:v>
      </x:c>
      <x:c r="D99" s="159" t="n">
        <x:v>7</x:v>
      </x:c>
      <x:c r="E99" s="159" t="n">
        <x:v>5</x:v>
      </x:c>
      <x:c r="F99" s="159" t="n">
        <x:v>7</x:v>
      </x:c>
      <x:c r="G99" s="159" t="n">
        <x:v>5</x:v>
      </x:c>
      <x:c r="H99" s="159" t="n">
        <x:v>3</x:v>
      </x:c>
      <x:c r="I99" s="159" t="n">
        <x:f>IF(COUNT(C99:H99)=6,SUM(C99:H99),"")</x:f>
        <x:v>36</x:v>
      </x:c>
      <x:c r="J99" s="159" t="str">
        <x:f>IF(I99="","",IF(I99&gt;=90,"S+",IF(I99&gt;=80,"S",IF(I99&gt;=70,"A+",IF(I99&gt;=60,"A",IF(I99&gt;=50,"B+",IF(I99&gt;=40,"B",IF(I99&gt;=30,"C+",IF(I99&gt;=20,"C",IF(I99&gt;=10,"D+","D"))))))))))</x:f>
        <x:v>C+</x:v>
      </x:c>
      <x:c r="K99" s="159" t="str">
        <x:v>미검증 승계·잠정</x:v>
      </x:c>
      <x:c r="L99" s="152" t="str">
        <x:v>구조점수 승계: 확인된 새 근거 없이 항목별 점수를 증감하지 않음. 최근 90일 검증된 가속도 근거 부족: 중립 가정 5점(실측 아님)</x:v>
      </x:c>
    </x:row>
    <x:row r="100" ht="94" customHeight="1">
      <x:c r="A100" s="157" t="n">
        <x:f>IF(I100="","",COUNTIF($I$5:$I$130,"&gt;"&amp;I100)+1)</x:f>
        <x:v>95</x:v>
      </x:c>
      <x:c r="B100" s="158" t="str">
        <x:v>CiON</x:v>
      </x:c>
      <x:c r="C100" s="159" t="n">
        <x:v>9</x:v>
      </x:c>
      <x:c r="D100" s="159" t="n">
        <x:v>7</x:v>
      </x:c>
      <x:c r="E100" s="159" t="n">
        <x:v>5</x:v>
      </x:c>
      <x:c r="F100" s="159" t="n">
        <x:v>6</x:v>
      </x:c>
      <x:c r="G100" s="159" t="n">
        <x:v>5</x:v>
      </x:c>
      <x:c r="H100" s="159" t="n">
        <x:v>4</x:v>
      </x:c>
      <x:c r="I100" s="159" t="n">
        <x:f>IF(COUNT(C100:H100)=6,SUM(C100:H100),"")</x:f>
        <x:v>36</x:v>
      </x:c>
      <x:c r="J100" s="159" t="str">
        <x:f>IF(I100="","",IF(I100&gt;=90,"S+",IF(I100&gt;=80,"S",IF(I100&gt;=70,"A+",IF(I100&gt;=60,"A",IF(I100&gt;=50,"B+",IF(I100&gt;=40,"B",IF(I100&gt;=30,"C+",IF(I100&gt;=20,"C",IF(I100&gt;=10,"D+","D"))))))))))</x:f>
        <x:v>C+</x:v>
      </x:c>
      <x:c r="K100" s="159" t="str">
        <x:v>미검증 승계·잠정</x:v>
      </x:c>
      <x:c r="L100" s="152" t="str">
        <x:v>구조점수 승계: 확인된 새 근거 없이 항목별 점수를 증감하지 않음. 최근 90일 검증된 가속도 근거 부족: 중립 가정 5점(실측 아님)</x:v>
      </x:c>
    </x:row>
    <x:row r="101" ht="94" customHeight="1">
      <x:c r="A101" s="157" t="n">
        <x:f>IF(I101="","",COUNTIF($I$5:$I$130,"&gt;"&amp;I101)+1)</x:f>
        <x:v>95</x:v>
      </x:c>
      <x:c r="B101" s="158" t="str">
        <x:v>fishbowl</x:v>
      </x:c>
      <x:c r="C101" s="159" t="n">
        <x:v>8</x:v>
      </x:c>
      <x:c r="D101" s="159" t="n">
        <x:v>7</x:v>
      </x:c>
      <x:c r="E101" s="159" t="n">
        <x:v>6</x:v>
      </x:c>
      <x:c r="F101" s="159" t="n">
        <x:v>6</x:v>
      </x:c>
      <x:c r="G101" s="159" t="n">
        <x:v>5</x:v>
      </x:c>
      <x:c r="H101" s="159" t="n">
        <x:v>4</x:v>
      </x:c>
      <x:c r="I101" s="159" t="n">
        <x:f>IF(COUNT(C101:H101)=6,SUM(C101:H101),"")</x:f>
        <x:v>36</x:v>
      </x:c>
      <x:c r="J101" s="159" t="str">
        <x:f>IF(I101="","",IF(I101&gt;=90,"S+",IF(I101&gt;=80,"S",IF(I101&gt;=70,"A+",IF(I101&gt;=60,"A",IF(I101&gt;=50,"B+",IF(I101&gt;=40,"B",IF(I101&gt;=30,"C+",IF(I101&gt;=20,"C",IF(I101&gt;=10,"D+","D"))))))))))</x:f>
        <x:v>C+</x:v>
      </x:c>
      <x:c r="K101" s="159" t="str">
        <x:v>미검증 승계·잠정</x:v>
      </x:c>
      <x:c r="L101" s="152" t="str">
        <x:v>구조점수 승계: 확인된 새 근거 없이 항목별 점수를 증감하지 않음. 최근 90일 검증된 가속도 근거 부족: 중립 가정 5점(실측 아님)</x:v>
      </x:c>
    </x:row>
    <x:row r="102" ht="94" customHeight="1">
      <x:c r="A102" s="157" t="n">
        <x:f>IF(I102="","",COUNTIF($I$5:$I$130,"&gt;"&amp;I102)+1)</x:f>
        <x:v>95</x:v>
      </x:c>
      <x:c r="B102" s="158" t="str">
        <x:v>PIGGS</x:v>
      </x:c>
      <x:c r="C102" s="159" t="n">
        <x:v>9</x:v>
      </x:c>
      <x:c r="D102" s="159" t="n">
        <x:v>7</x:v>
      </x:c>
      <x:c r="E102" s="159" t="n">
        <x:v>6</x:v>
      </x:c>
      <x:c r="F102" s="159" t="n">
        <x:v>6</x:v>
      </x:c>
      <x:c r="G102" s="159" t="n">
        <x:v>5</x:v>
      </x:c>
      <x:c r="H102" s="159" t="n">
        <x:v>3</x:v>
      </x:c>
      <x:c r="I102" s="159" t="n">
        <x:f>IF(COUNT(C102:H102)=6,SUM(C102:H102),"")</x:f>
        <x:v>36</x:v>
      </x:c>
      <x:c r="J102" s="159" t="str">
        <x:f>IF(I102="","",IF(I102&gt;=90,"S+",IF(I102&gt;=80,"S",IF(I102&gt;=70,"A+",IF(I102&gt;=60,"A",IF(I102&gt;=50,"B+",IF(I102&gt;=40,"B",IF(I102&gt;=30,"C+",IF(I102&gt;=20,"C",IF(I102&gt;=10,"D+","D"))))))))))</x:f>
        <x:v>C+</x:v>
      </x:c>
      <x:c r="K102" s="159" t="str">
        <x:v>미검증 승계·잠정</x:v>
      </x:c>
      <x:c r="L102" s="152" t="str">
        <x:v>구조점수 승계: 확인된 새 근거 없이 항목별 점수를 증감하지 않음. 최근 90일 검증된 가속도 근거 부족: 중립 가정 5점(실측 아님)</x:v>
      </x:c>
    </x:row>
    <x:row r="103" ht="94" customHeight="1">
      <x:c r="A103" s="157" t="n">
        <x:f>IF(I103="","",COUNTIF($I$5:$I$130,"&gt;"&amp;I103)+1)</x:f>
        <x:v>95</x:v>
      </x:c>
      <x:c r="B103" s="158" t="str">
        <x:v>SITUASION</x:v>
      </x:c>
      <x:c r="C103" s="159" t="n">
        <x:v>10</x:v>
      </x:c>
      <x:c r="D103" s="159" t="n">
        <x:v>7</x:v>
      </x:c>
      <x:c r="E103" s="159" t="n">
        <x:v>5</x:v>
      </x:c>
      <x:c r="F103" s="159" t="n">
        <x:v>6</x:v>
      </x:c>
      <x:c r="G103" s="159" t="n">
        <x:v>5</x:v>
      </x:c>
      <x:c r="H103" s="159" t="n">
        <x:v>3</x:v>
      </x:c>
      <x:c r="I103" s="159" t="n">
        <x:f>IF(COUNT(C103:H103)=6,SUM(C103:H103),"")</x:f>
        <x:v>36</x:v>
      </x:c>
      <x:c r="J103" s="159" t="str">
        <x:f>IF(I103="","",IF(I103&gt;=90,"S+",IF(I103&gt;=80,"S",IF(I103&gt;=70,"A+",IF(I103&gt;=60,"A",IF(I103&gt;=50,"B+",IF(I103&gt;=40,"B",IF(I103&gt;=30,"C+",IF(I103&gt;=20,"C",IF(I103&gt;=10,"D+","D"))))))))))</x:f>
        <x:v>C+</x:v>
      </x:c>
      <x:c r="K103" s="159" t="str">
        <x:v>미검증 승계·잠정</x:v>
      </x:c>
      <x:c r="L103" s="152" t="str">
        <x:v>구조점수 승계: 확인된 새 근거 없이 항목별 점수를 증감하지 않음. 최근 90일 검증된 가속도 근거 부족: 중립 가정 5점(실측 아님)</x:v>
      </x:c>
    </x:row>
    <x:row r="104" ht="94" customHeight="1">
      <x:c r="A104" s="157" t="n">
        <x:f>IF(I104="","",COUNTIF($I$5:$I$130,"&gt;"&amp;I104)+1)</x:f>
        <x:v>95</x:v>
      </x:c>
      <x:c r="B104" s="158" t="str">
        <x:v>Sweet Alley</x:v>
      </x:c>
      <x:c r="C104" s="159" t="n">
        <x:v>8</x:v>
      </x:c>
      <x:c r="D104" s="159" t="n">
        <x:v>7</x:v>
      </x:c>
      <x:c r="E104" s="159" t="n">
        <x:v>5</x:v>
      </x:c>
      <x:c r="F104" s="159" t="n">
        <x:v>7</x:v>
      </x:c>
      <x:c r="G104" s="159" t="n">
        <x:v>5</x:v>
      </x:c>
      <x:c r="H104" s="159" t="n">
        <x:v>4</x:v>
      </x:c>
      <x:c r="I104" s="159" t="n">
        <x:f>IF(COUNT(C104:H104)=6,SUM(C104:H104),"")</x:f>
        <x:v>36</x:v>
      </x:c>
      <x:c r="J104" s="159" t="str">
        <x:f>IF(I104="","",IF(I104&gt;=90,"S+",IF(I104&gt;=80,"S",IF(I104&gt;=70,"A+",IF(I104&gt;=60,"A",IF(I104&gt;=50,"B+",IF(I104&gt;=40,"B",IF(I104&gt;=30,"C+",IF(I104&gt;=20,"C",IF(I104&gt;=10,"D+","D"))))))))))</x:f>
        <x:v>C+</x:v>
      </x:c>
      <x:c r="K104" s="159" t="str">
        <x:v>미검증 승계·잠정</x:v>
      </x:c>
      <x:c r="L104" s="152" t="str">
        <x:v>구조점수 승계: 확인된 새 근거 없이 항목별 점수를 증감하지 않음. 최근 90일 검증된 가속도 근거 부족: 중립 가정 5점(실측 아님)</x:v>
      </x:c>
    </x:row>
    <x:row r="105" ht="94" customHeight="1">
      <x:c r="A105" s="157" t="n">
        <x:f>IF(I105="","",COUNTIF($I$5:$I$130,"&gt;"&amp;I105)+1)</x:f>
        <x:v>95</x:v>
      </x:c>
      <x:c r="B105" s="158" t="str">
        <x:v>アップアップガールズ（2）</x:v>
      </x:c>
      <x:c r="C105" s="159" t="n">
        <x:v>9</x:v>
      </x:c>
      <x:c r="D105" s="159" t="n">
        <x:v>7</x:v>
      </x:c>
      <x:c r="E105" s="159" t="n">
        <x:v>6</x:v>
      </x:c>
      <x:c r="F105" s="159" t="n">
        <x:v>5</x:v>
      </x:c>
      <x:c r="G105" s="159" t="n">
        <x:v>5</x:v>
      </x:c>
      <x:c r="H105" s="159" t="n">
        <x:v>4</x:v>
      </x:c>
      <x:c r="I105" s="159" t="n">
        <x:f>IF(COUNT(C105:H105)=6,SUM(C105:H105),"")</x:f>
        <x:v>36</x:v>
      </x:c>
      <x:c r="J105" s="159" t="str">
        <x:f>IF(I105="","",IF(I105&gt;=90,"S+",IF(I105&gt;=80,"S",IF(I105&gt;=70,"A+",IF(I105&gt;=60,"A",IF(I105&gt;=50,"B+",IF(I105&gt;=40,"B",IF(I105&gt;=30,"C+",IF(I105&gt;=20,"C",IF(I105&gt;=10,"D+","D"))))))))))</x:f>
        <x:v>C+</x:v>
      </x:c>
      <x:c r="K105" s="159" t="str">
        <x:v>미검증 승계·잠정</x:v>
      </x:c>
      <x:c r="L105" s="152" t="str">
        <x:v>구조점수 승계: 확인된 새 근거 없이 항목별 점수를 증감하지 않음. 최근 90일 검증된 가속도 근거 부족: 중립 가정 5점(실측 아님)</x:v>
      </x:c>
    </x:row>
    <x:row r="106" ht="94" customHeight="1">
      <x:c r="A106" s="157" t="n">
        <x:f>IF(I106="","",COUNTIF($I$5:$I$130,"&gt;"&amp;I106)+1)</x:f>
        <x:v>95</x:v>
      </x:c>
      <x:c r="B106" s="158" t="str">
        <x:v>カラフルスクリーム</x:v>
      </x:c>
      <x:c r="C106" s="159" t="n">
        <x:v>9</x:v>
      </x:c>
      <x:c r="D106" s="159" t="n">
        <x:v>7</x:v>
      </x:c>
      <x:c r="E106" s="159" t="n">
        <x:v>6</x:v>
      </x:c>
      <x:c r="F106" s="159" t="n">
        <x:v>6</x:v>
      </x:c>
      <x:c r="G106" s="159" t="n">
        <x:v>5</x:v>
      </x:c>
      <x:c r="H106" s="159" t="n">
        <x:v>3</x:v>
      </x:c>
      <x:c r="I106" s="159" t="n">
        <x:f>IF(COUNT(C106:H106)=6,SUM(C106:H106),"")</x:f>
        <x:v>36</x:v>
      </x:c>
      <x:c r="J106" s="159" t="str">
        <x:f>IF(I106="","",IF(I106&gt;=90,"S+",IF(I106&gt;=80,"S",IF(I106&gt;=70,"A+",IF(I106&gt;=60,"A",IF(I106&gt;=50,"B+",IF(I106&gt;=40,"B",IF(I106&gt;=30,"C+",IF(I106&gt;=20,"C",IF(I106&gt;=10,"D+","D"))))))))))</x:f>
        <x:v>C+</x:v>
      </x:c>
      <x:c r="K106" s="159" t="str">
        <x:v>미검증 승계·잠정</x:v>
      </x:c>
      <x:c r="L106" s="152" t="str">
        <x:v>구조점수 승계: 확인된 새 근거 없이 항목별 점수를 증감하지 않음. 최근 90일 검증된 가속도 근거 부족: 중립 가정 5점(실측 아님)</x:v>
      </x:c>
    </x:row>
    <x:row r="107" ht="94" customHeight="1">
      <x:c r="A107" s="157" t="n">
        <x:f>IF(I107="","",COUNTIF($I$5:$I$130,"&gt;"&amp;I107)+1)</x:f>
        <x:v>95</x:v>
      </x:c>
      <x:c r="B107" s="158" t="str">
        <x:v>きのホ。</x:v>
      </x:c>
      <x:c r="C107" s="159" t="n">
        <x:v>9</x:v>
      </x:c>
      <x:c r="D107" s="159" t="n">
        <x:v>7</x:v>
      </x:c>
      <x:c r="E107" s="159" t="n">
        <x:v>6</x:v>
      </x:c>
      <x:c r="F107" s="159" t="n">
        <x:v>6</x:v>
      </x:c>
      <x:c r="G107" s="159" t="n">
        <x:v>5</x:v>
      </x:c>
      <x:c r="H107" s="159" t="n">
        <x:v>3</x:v>
      </x:c>
      <x:c r="I107" s="159" t="n">
        <x:f>IF(COUNT(C107:H107)=6,SUM(C107:H107),"")</x:f>
        <x:v>36</x:v>
      </x:c>
      <x:c r="J107" s="159" t="str">
        <x:f>IF(I107="","",IF(I107&gt;=90,"S+",IF(I107&gt;=80,"S",IF(I107&gt;=70,"A+",IF(I107&gt;=60,"A",IF(I107&gt;=50,"B+",IF(I107&gt;=40,"B",IF(I107&gt;=30,"C+",IF(I107&gt;=20,"C",IF(I107&gt;=10,"D+","D"))))))))))</x:f>
        <x:v>C+</x:v>
      </x:c>
      <x:c r="K107" s="159" t="str">
        <x:v>미검증 승계·잠정</x:v>
      </x:c>
      <x:c r="L107" s="152" t="str">
        <x:v>구조점수 승계: 확인된 새 근거 없이 항목별 점수를 증감하지 않음. 최근 90일 검증된 가속도 근거 부족: 중립 가정 5점(실측 아님)</x:v>
      </x:c>
    </x:row>
    <x:row r="108" ht="94" customHeight="1">
      <x:c r="A108" s="157" t="n">
        <x:f>IF(I108="","",COUNTIF($I$5:$I$130,"&gt;"&amp;I108)+1)</x:f>
        <x:v>104</x:v>
      </x:c>
      <x:c r="B108" s="158" t="str">
        <x:v>KRD8</x:v>
      </x:c>
      <x:c r="C108" s="159" t="n">
        <x:v>8</x:v>
      </x:c>
      <x:c r="D108" s="159" t="n">
        <x:v>7</x:v>
      </x:c>
      <x:c r="E108" s="159" t="n">
        <x:v>6</x:v>
      </x:c>
      <x:c r="F108" s="159" t="n">
        <x:v>5</x:v>
      </x:c>
      <x:c r="G108" s="159" t="n">
        <x:v>5</x:v>
      </x:c>
      <x:c r="H108" s="159" t="n">
        <x:v>4</x:v>
      </x:c>
      <x:c r="I108" s="159" t="n">
        <x:f>IF(COUNT(C108:H108)=6,SUM(C108:H108),"")</x:f>
        <x:v>35</x:v>
      </x:c>
      <x:c r="J108" s="159" t="str">
        <x:f>IF(I108="","",IF(I108&gt;=90,"S+",IF(I108&gt;=80,"S",IF(I108&gt;=70,"A+",IF(I108&gt;=60,"A",IF(I108&gt;=50,"B+",IF(I108&gt;=40,"B",IF(I108&gt;=30,"C+",IF(I108&gt;=20,"C",IF(I108&gt;=10,"D+","D"))))))))))</x:f>
        <x:v>C+</x:v>
      </x:c>
      <x:c r="K108" s="159" t="str">
        <x:v>미검증 승계·잠정</x:v>
      </x:c>
      <x:c r="L108" s="152" t="str">
        <x:v>구조점수 승계: 확인된 새 근거 없이 항목별 점수를 증감하지 않음. 최근 90일 검증된 가속도 근거 부족: 중립 가정 5점(실측 아님)</x:v>
      </x:c>
    </x:row>
    <x:row r="109" ht="94" customHeight="1">
      <x:c r="A109" s="157" t="n">
        <x:f>IF(I109="","",COUNTIF($I$5:$I$130,"&gt;"&amp;I109)+1)</x:f>
        <x:v>104</x:v>
      </x:c>
      <x:c r="B109" s="158" t="str">
        <x:v>キングサリ</x:v>
      </x:c>
      <x:c r="C109" s="159" t="n">
        <x:v>10</x:v>
      </x:c>
      <x:c r="D109" s="159" t="n">
        <x:v>7</x:v>
      </x:c>
      <x:c r="E109" s="159" t="n">
        <x:v>4</x:v>
      </x:c>
      <x:c r="F109" s="159" t="n">
        <x:v>6</x:v>
      </x:c>
      <x:c r="G109" s="159" t="n">
        <x:v>5</x:v>
      </x:c>
      <x:c r="H109" s="159" t="n">
        <x:v>3</x:v>
      </x:c>
      <x:c r="I109" s="159" t="n">
        <x:f>IF(COUNT(C109:H109)=6,SUM(C109:H109),"")</x:f>
        <x:v>35</x:v>
      </x:c>
      <x:c r="J109" s="159" t="str">
        <x:f>IF(I109="","",IF(I109&gt;=90,"S+",IF(I109&gt;=80,"S",IF(I109&gt;=70,"A+",IF(I109&gt;=60,"A",IF(I109&gt;=50,"B+",IF(I109&gt;=40,"B",IF(I109&gt;=30,"C+",IF(I109&gt;=20,"C",IF(I109&gt;=10,"D+","D"))))))))))</x:f>
        <x:v>C+</x:v>
      </x:c>
      <x:c r="K109" s="159" t="str">
        <x:v>미검증 승계·잠정</x:v>
      </x:c>
      <x:c r="L109" s="152" t="str">
        <x:v>구조점수 승계: 확인된 새 근거 없이 항목별 점수를 증감하지 않음. 최근 90일 검증된 가속도 근거 부족: 중립 가정 5점(실측 아님)</x:v>
      </x:c>
    </x:row>
    <x:row r="110" ht="94" customHeight="1">
      <x:c r="A110" s="157" t="n">
        <x:f>IF(I110="","",COUNTIF($I$5:$I$130,"&gt;"&amp;I110)+1)</x:f>
        <x:v>104</x:v>
      </x:c>
      <x:c r="B110" s="158" t="str">
        <x:v>君に、胸キュン。</x:v>
      </x:c>
      <x:c r="C110" s="159" t="n">
        <x:v>8</x:v>
      </x:c>
      <x:c r="D110" s="159" t="n">
        <x:v>7</x:v>
      </x:c>
      <x:c r="E110" s="159" t="n">
        <x:v>6</x:v>
      </x:c>
      <x:c r="F110" s="159" t="n">
        <x:v>6</x:v>
      </x:c>
      <x:c r="G110" s="159" t="n">
        <x:v>5</x:v>
      </x:c>
      <x:c r="H110" s="159" t="n">
        <x:v>3</x:v>
      </x:c>
      <x:c r="I110" s="159" t="n">
        <x:f>IF(COUNT(C110:H110)=6,SUM(C110:H110),"")</x:f>
        <x:v>35</x:v>
      </x:c>
      <x:c r="J110" s="159" t="str">
        <x:f>IF(I110="","",IF(I110&gt;=90,"S+",IF(I110&gt;=80,"S",IF(I110&gt;=70,"A+",IF(I110&gt;=60,"A",IF(I110&gt;=50,"B+",IF(I110&gt;=40,"B",IF(I110&gt;=30,"C+",IF(I110&gt;=20,"C",IF(I110&gt;=10,"D+","D"))))))))))</x:f>
        <x:v>C+</x:v>
      </x:c>
      <x:c r="K110" s="159" t="str">
        <x:v>미검증 승계·잠정</x:v>
      </x:c>
      <x:c r="L110" s="152" t="str">
        <x:v>구조점수 승계: 확인된 새 근거 없이 항목별 점수를 증감하지 않음. 최근 90일 검증된 가속도 근거 부족: 중립 가정 5점(실측 아님)</x:v>
      </x:c>
    </x:row>
    <x:row r="111" ht="94" customHeight="1">
      <x:c r="A111" s="157" t="n">
        <x:f>IF(I111="","",COUNTIF($I$5:$I$130,"&gt;"&amp;I111)+1)</x:f>
        <x:v>104</x:v>
      </x:c>
      <x:c r="B111" s="158" t="str">
        <x:v>透色ドロップ</x:v>
      </x:c>
      <x:c r="C111" s="159" t="n">
        <x:v>9</x:v>
      </x:c>
      <x:c r="D111" s="159" t="n">
        <x:v>7</x:v>
      </x:c>
      <x:c r="E111" s="159" t="n">
        <x:v>5</x:v>
      </x:c>
      <x:c r="F111" s="159" t="n">
        <x:v>5</x:v>
      </x:c>
      <x:c r="G111" s="159" t="n">
        <x:v>5</x:v>
      </x:c>
      <x:c r="H111" s="159" t="n">
        <x:v>4</x:v>
      </x:c>
      <x:c r="I111" s="159" t="n">
        <x:f>IF(COUNT(C111:H111)=6,SUM(C111:H111),"")</x:f>
        <x:v>35</x:v>
      </x:c>
      <x:c r="J111" s="159" t="str">
        <x:f>IF(I111="","",IF(I111&gt;=90,"S+",IF(I111&gt;=80,"S",IF(I111&gt;=70,"A+",IF(I111&gt;=60,"A",IF(I111&gt;=50,"B+",IF(I111&gt;=40,"B",IF(I111&gt;=30,"C+",IF(I111&gt;=20,"C",IF(I111&gt;=10,"D+","D"))))))))))</x:f>
        <x:v>C+</x:v>
      </x:c>
      <x:c r="K111" s="159" t="str">
        <x:v>미검증 승계·잠정</x:v>
      </x:c>
      <x:c r="L111" s="152" t="str">
        <x:v>구조점수 승계: 확인된 새 근거 없이 항목별 점수를 증감하지 않음. 최근 90일 검증된 가속도 근거 부족: 중립 가정 5점(실측 아님)</x:v>
      </x:c>
    </x:row>
    <x:row r="112" ht="94" customHeight="1">
      <x:c r="A112" s="157" t="n">
        <x:f>IF(I112="","",COUNTIF($I$5:$I$130,"&gt;"&amp;I112)+1)</x:f>
        <x:v>108</x:v>
      </x:c>
      <x:c r="B112" s="158" t="str">
        <x:v>Gran☆Ciel</x:v>
      </x:c>
      <x:c r="C112" s="159" t="n">
        <x:v>8</x:v>
      </x:c>
      <x:c r="D112" s="159" t="n">
        <x:v>7</x:v>
      </x:c>
      <x:c r="E112" s="159" t="n">
        <x:v>5</x:v>
      </x:c>
      <x:c r="F112" s="159" t="n">
        <x:v>5</x:v>
      </x:c>
      <x:c r="G112" s="159" t="n">
        <x:v>5</x:v>
      </x:c>
      <x:c r="H112" s="159" t="n">
        <x:v>4</x:v>
      </x:c>
      <x:c r="I112" s="159" t="n">
        <x:f>IF(COUNT(C112:H112)=6,SUM(C112:H112),"")</x:f>
        <x:v>34</x:v>
      </x:c>
      <x:c r="J112" s="159" t="str">
        <x:f>IF(I112="","",IF(I112&gt;=90,"S+",IF(I112&gt;=80,"S",IF(I112&gt;=70,"A+",IF(I112&gt;=60,"A",IF(I112&gt;=50,"B+",IF(I112&gt;=40,"B",IF(I112&gt;=30,"C+",IF(I112&gt;=20,"C",IF(I112&gt;=10,"D+","D"))))))))))</x:f>
        <x:v>C+</x:v>
      </x:c>
      <x:c r="K112" s="159" t="str">
        <x:v>미검증 승계·잠정</x:v>
      </x:c>
      <x:c r="L112" s="152" t="str">
        <x:v>구조점수 승계: 확인된 새 근거 없이 항목별 점수를 증감하지 않음. 최근 90일 검증된 가속도 근거 부족: 중립 가정 5점(실측 아님)</x:v>
      </x:c>
    </x:row>
    <x:row r="113" ht="94" customHeight="1">
      <x:c r="A113" s="157" t="n">
        <x:f>IF(I113="","",COUNTIF($I$5:$I$130,"&gt;"&amp;I113)+1)</x:f>
        <x:v>108</x:v>
      </x:c>
      <x:c r="B113" s="158" t="str">
        <x:v>Ma'Scar'Piece</x:v>
      </x:c>
      <x:c r="C113" s="159" t="n">
        <x:v>8</x:v>
      </x:c>
      <x:c r="D113" s="159" t="n">
        <x:v>6</x:v>
      </x:c>
      <x:c r="E113" s="159" t="n">
        <x:v>5</x:v>
      </x:c>
      <x:c r="F113" s="159" t="n">
        <x:v>7</x:v>
      </x:c>
      <x:c r="G113" s="159" t="n">
        <x:v>5</x:v>
      </x:c>
      <x:c r="H113" s="159" t="n">
        <x:v>3</x:v>
      </x:c>
      <x:c r="I113" s="159" t="n">
        <x:f>IF(COUNT(C113:H113)=6,SUM(C113:H113),"")</x:f>
        <x:v>34</x:v>
      </x:c>
      <x:c r="J113" s="159" t="str">
        <x:f>IF(I113="","",IF(I113&gt;=90,"S+",IF(I113&gt;=80,"S",IF(I113&gt;=70,"A+",IF(I113&gt;=60,"A",IF(I113&gt;=50,"B+",IF(I113&gt;=40,"B",IF(I113&gt;=30,"C+",IF(I113&gt;=20,"C",IF(I113&gt;=10,"D+","D"))))))))))</x:f>
        <x:v>C+</x:v>
      </x:c>
      <x:c r="K113" s="159" t="str">
        <x:v>미검증 승계·잠정</x:v>
      </x:c>
      <x:c r="L113" s="152" t="str">
        <x:v>구조점수 승계: 확인된 새 근거 없이 항목별 점수를 증감하지 않음. 최근 90일 검증된 가속도 근거 부족: 중립 가정 5점(실측 아님)</x:v>
      </x:c>
    </x:row>
    <x:row r="114" ht="94" customHeight="1">
      <x:c r="A114" s="157" t="n">
        <x:f>IF(I114="","",COUNTIF($I$5:$I$130,"&gt;"&amp;I114)+1)</x:f>
        <x:v>108</x:v>
      </x:c>
      <x:c r="B114" s="158" t="str">
        <x:v>NUANCE</x:v>
      </x:c>
      <x:c r="C114" s="159" t="n">
        <x:v>8</x:v>
      </x:c>
      <x:c r="D114" s="159" t="n">
        <x:v>7</x:v>
      </x:c>
      <x:c r="E114" s="159" t="n">
        <x:v>5</x:v>
      </x:c>
      <x:c r="F114" s="159" t="n">
        <x:v>5</x:v>
      </x:c>
      <x:c r="G114" s="159" t="n">
        <x:v>5</x:v>
      </x:c>
      <x:c r="H114" s="159" t="n">
        <x:v>4</x:v>
      </x:c>
      <x:c r="I114" s="159" t="n">
        <x:f>IF(COUNT(C114:H114)=6,SUM(C114:H114),"")</x:f>
        <x:v>34</x:v>
      </x:c>
      <x:c r="J114" s="159" t="str">
        <x:f>IF(I114="","",IF(I114&gt;=90,"S+",IF(I114&gt;=80,"S",IF(I114&gt;=70,"A+",IF(I114&gt;=60,"A",IF(I114&gt;=50,"B+",IF(I114&gt;=40,"B",IF(I114&gt;=30,"C+",IF(I114&gt;=20,"C",IF(I114&gt;=10,"D+","D"))))))))))</x:f>
        <x:v>C+</x:v>
      </x:c>
      <x:c r="K114" s="159" t="str">
        <x:v>미검증 승계·잠정</x:v>
      </x:c>
      <x:c r="L114" s="152" t="str">
        <x:v>구조점수 승계: 확인된 새 근거 없이 항목별 점수를 증감하지 않음. 최근 90일 검증된 가속도 근거 부족: 중립 가정 5점(실측 아님)</x:v>
      </x:c>
    </x:row>
    <x:row r="115" ht="94" customHeight="1">
      <x:c r="A115" s="157" t="n">
        <x:f>IF(I115="","",COUNTIF($I$5:$I$130,"&gt;"&amp;I115)+1)</x:f>
        <x:v>108</x:v>
      </x:c>
      <x:c r="B115" s="158" t="str">
        <x:v>UN1CON</x:v>
      </x:c>
      <x:c r="C115" s="159" t="n">
        <x:v>6</x:v>
      </x:c>
      <x:c r="D115" s="159" t="n">
        <x:v>5</x:v>
      </x:c>
      <x:c r="E115" s="159" t="n">
        <x:v>5</x:v>
      </x:c>
      <x:c r="F115" s="159" t="n">
        <x:v>10</x:v>
      </x:c>
      <x:c r="G115" s="159" t="n">
        <x:v>5</x:v>
      </x:c>
      <x:c r="H115" s="159" t="n">
        <x:v>3</x:v>
      </x:c>
      <x:c r="I115" s="159" t="n">
        <x:f>IF(COUNT(C115:H115)=6,SUM(C115:H115),"")</x:f>
        <x:v>34</x:v>
      </x:c>
      <x:c r="J115" s="159" t="str">
        <x:f>IF(I115="","",IF(I115&gt;=90,"S+",IF(I115&gt;=80,"S",IF(I115&gt;=70,"A+",IF(I115&gt;=60,"A",IF(I115&gt;=50,"B+",IF(I115&gt;=40,"B",IF(I115&gt;=30,"C+",IF(I115&gt;=20,"C",IF(I115&gt;=10,"D+","D"))))))))))</x:f>
        <x:v>C+</x:v>
      </x:c>
      <x:c r="K115" s="159" t="str">
        <x:v>미검증 승계·잠정</x:v>
      </x:c>
      <x:c r="L115" s="152" t="str">
        <x:v>구조점수 승계: 확인된 새 근거 없이 항목별 점수를 증감하지 않음. 최근 90일 검증된 가속도 근거 부족: 중립 가정 5점(실측 아님)</x:v>
      </x:c>
    </x:row>
    <x:row r="116" ht="94" customHeight="1">
      <x:c r="A116" s="157" t="n">
        <x:f>IF(I116="","",COUNTIF($I$5:$I$130,"&gt;"&amp;I116)+1)</x:f>
        <x:v>108</x:v>
      </x:c>
      <x:c r="B116" s="158" t="str">
        <x:v>かすみ草とステラ</x:v>
      </x:c>
      <x:c r="C116" s="159" t="n">
        <x:v>9</x:v>
      </x:c>
      <x:c r="D116" s="159" t="n">
        <x:v>7</x:v>
      </x:c>
      <x:c r="E116" s="159" t="n">
        <x:v>5</x:v>
      </x:c>
      <x:c r="F116" s="159" t="n">
        <x:v>5</x:v>
      </x:c>
      <x:c r="G116" s="159" t="n">
        <x:v>5</x:v>
      </x:c>
      <x:c r="H116" s="159" t="n">
        <x:v>3</x:v>
      </x:c>
      <x:c r="I116" s="159" t="n">
        <x:f>IF(COUNT(C116:H116)=6,SUM(C116:H116),"")</x:f>
        <x:v>34</x:v>
      </x:c>
      <x:c r="J116" s="159" t="str">
        <x:f>IF(I116="","",IF(I116&gt;=90,"S+",IF(I116&gt;=80,"S",IF(I116&gt;=70,"A+",IF(I116&gt;=60,"A",IF(I116&gt;=50,"B+",IF(I116&gt;=40,"B",IF(I116&gt;=30,"C+",IF(I116&gt;=20,"C",IF(I116&gt;=10,"D+","D"))))))))))</x:f>
        <x:v>C+</x:v>
      </x:c>
      <x:c r="K116" s="159" t="str">
        <x:v>미검증 승계·잠정</x:v>
      </x:c>
      <x:c r="L116" s="152" t="str">
        <x:v>구조점수 승계: 확인된 새 근거 없이 항목별 점수를 증감하지 않음. 최근 90일 검증된 가속도 근거 부족: 중립 가정 5점(실측 아님)</x:v>
      </x:c>
    </x:row>
    <x:row r="117" ht="94" customHeight="1">
      <x:c r="A117" s="157" t="n">
        <x:f>IF(I117="","",COUNTIF($I$5:$I$130,"&gt;"&amp;I117)+1)</x:f>
        <x:v>108</x:v>
      </x:c>
      <x:c r="B117" s="158" t="str">
        <x:v>さよならステイチューン</x:v>
      </x:c>
      <x:c r="C117" s="159" t="n">
        <x:v>8</x:v>
      </x:c>
      <x:c r="D117" s="159" t="n">
        <x:v>6</x:v>
      </x:c>
      <x:c r="E117" s="159" t="n">
        <x:v>5</x:v>
      </x:c>
      <x:c r="F117" s="159" t="n">
        <x:v>7</x:v>
      </x:c>
      <x:c r="G117" s="159" t="n">
        <x:v>5</x:v>
      </x:c>
      <x:c r="H117" s="159" t="n">
        <x:v>3</x:v>
      </x:c>
      <x:c r="I117" s="159" t="n">
        <x:f>IF(COUNT(C117:H117)=6,SUM(C117:H117),"")</x:f>
        <x:v>34</x:v>
      </x:c>
      <x:c r="J117" s="159" t="str">
        <x:f>IF(I117="","",IF(I117&gt;=90,"S+",IF(I117&gt;=80,"S",IF(I117&gt;=70,"A+",IF(I117&gt;=60,"A",IF(I117&gt;=50,"B+",IF(I117&gt;=40,"B",IF(I117&gt;=30,"C+",IF(I117&gt;=20,"C",IF(I117&gt;=10,"D+","D"))))))))))</x:f>
        <x:v>C+</x:v>
      </x:c>
      <x:c r="K117" s="159" t="str">
        <x:v>미검증 승계·잠정</x:v>
      </x:c>
      <x:c r="L117" s="152" t="str">
        <x:v>구조점수 승계: 확인된 새 근거 없이 항목별 점수를 증감하지 않음. 최근 90일 검증된 가속도 근거 부족: 중립 가정 5점(실측 아님)</x:v>
      </x:c>
    </x:row>
    <x:row r="118" ht="94" customHeight="1">
      <x:c r="A118" s="157" t="n">
        <x:f>IF(I118="","",COUNTIF($I$5:$I$130,"&gt;"&amp;I118)+1)</x:f>
        <x:v>108</x:v>
      </x:c>
      <x:c r="B118" s="158" t="str">
        <x:v>ハルニシオン</x:v>
      </x:c>
      <x:c r="C118" s="159" t="n">
        <x:v>9</x:v>
      </x:c>
      <x:c r="D118" s="159" t="n">
        <x:v>7</x:v>
      </x:c>
      <x:c r="E118" s="159" t="n">
        <x:v>4</x:v>
      </x:c>
      <x:c r="F118" s="159" t="n">
        <x:v>6</x:v>
      </x:c>
      <x:c r="G118" s="159" t="n">
        <x:v>5</x:v>
      </x:c>
      <x:c r="H118" s="159" t="n">
        <x:v>3</x:v>
      </x:c>
      <x:c r="I118" s="159" t="n">
        <x:f>IF(COUNT(C118:H118)=6,SUM(C118:H118),"")</x:f>
        <x:v>34</x:v>
      </x:c>
      <x:c r="J118" s="159" t="str">
        <x:f>IF(I118="","",IF(I118&gt;=90,"S+",IF(I118&gt;=80,"S",IF(I118&gt;=70,"A+",IF(I118&gt;=60,"A",IF(I118&gt;=50,"B+",IF(I118&gt;=40,"B",IF(I118&gt;=30,"C+",IF(I118&gt;=20,"C",IF(I118&gt;=10,"D+","D"))))))))))</x:f>
        <x:v>C+</x:v>
      </x:c>
      <x:c r="K118" s="159" t="str">
        <x:v>미검증 승계·잠정</x:v>
      </x:c>
      <x:c r="L118" s="152" t="str">
        <x:v>구조점수 승계: 확인된 새 근거 없이 항목별 점수를 증감하지 않음. 최근 90일 검증된 가속도 근거 부족: 중립 가정 5점(실측 아님)</x:v>
      </x:c>
    </x:row>
    <x:row r="119" ht="94" customHeight="1">
      <x:c r="A119" s="157" t="n">
        <x:f>IF(I119="","",COUNTIF($I$5:$I$130,"&gt;"&amp;I119)+1)</x:f>
        <x:v>108</x:v>
      </x:c>
      <x:c r="B119" s="158" t="str">
        <x:v>ロージークロニクル</x:v>
      </x:c>
      <x:c r="C119" s="159" t="n">
        <x:v>8</x:v>
      </x:c>
      <x:c r="D119" s="159" t="n">
        <x:v>8</x:v>
      </x:c>
      <x:c r="E119" s="159" t="n">
        <x:v>6</x:v>
      </x:c>
      <x:c r="F119" s="159" t="n">
        <x:v>4</x:v>
      </x:c>
      <x:c r="G119" s="159" t="n">
        <x:v>5</x:v>
      </x:c>
      <x:c r="H119" s="159" t="n">
        <x:v>3</x:v>
      </x:c>
      <x:c r="I119" s="159" t="n">
        <x:f>IF(COUNT(C119:H119)=6,SUM(C119:H119),"")</x:f>
        <x:v>34</x:v>
      </x:c>
      <x:c r="J119" s="159" t="str">
        <x:f>IF(I119="","",IF(I119&gt;=90,"S+",IF(I119&gt;=80,"S",IF(I119&gt;=70,"A+",IF(I119&gt;=60,"A",IF(I119&gt;=50,"B+",IF(I119&gt;=40,"B",IF(I119&gt;=30,"C+",IF(I119&gt;=20,"C",IF(I119&gt;=10,"D+","D"))))))))))</x:f>
        <x:v>C+</x:v>
      </x:c>
      <x:c r="K119" s="159" t="str">
        <x:v>미검증 승계·잠정</x:v>
      </x:c>
      <x:c r="L119" s="152" t="str">
        <x:v>구조점수 승계: 확인된 새 근거 없이 항목별 점수를 증감하지 않음. 최근 90일 검증된 가속도 근거 부족: 중립 가정 5점(실측 아님)</x:v>
      </x:c>
    </x:row>
    <x:row r="120" ht="94" customHeight="1">
      <x:c r="A120" s="157" t="n">
        <x:f>IF(I120="","",COUNTIF($I$5:$I$130,"&gt;"&amp;I120)+1)</x:f>
        <x:v>116</x:v>
      </x:c>
      <x:c r="B120" s="158" t="str">
        <x:v>DREAMING MONSTER</x:v>
      </x:c>
      <x:c r="C120" s="159" t="n">
        <x:v>8</x:v>
      </x:c>
      <x:c r="D120" s="159" t="n">
        <x:v>7</x:v>
      </x:c>
      <x:c r="E120" s="159" t="n">
        <x:v>5</x:v>
      </x:c>
      <x:c r="F120" s="159" t="n">
        <x:v>5</x:v>
      </x:c>
      <x:c r="G120" s="159" t="n">
        <x:v>5</x:v>
      </x:c>
      <x:c r="H120" s="159" t="n">
        <x:v>3</x:v>
      </x:c>
      <x:c r="I120" s="159" t="n">
        <x:f>IF(COUNT(C120:H120)=6,SUM(C120:H120),"")</x:f>
        <x:v>33</x:v>
      </x:c>
      <x:c r="J120" s="159" t="str">
        <x:f>IF(I120="","",IF(I120&gt;=90,"S+",IF(I120&gt;=80,"S",IF(I120&gt;=70,"A+",IF(I120&gt;=60,"A",IF(I120&gt;=50,"B+",IF(I120&gt;=40,"B",IF(I120&gt;=30,"C+",IF(I120&gt;=20,"C",IF(I120&gt;=10,"D+","D"))))))))))</x:f>
        <x:v>C+</x:v>
      </x:c>
      <x:c r="K120" s="159" t="str">
        <x:v>미검증 승계·잠정</x:v>
      </x:c>
      <x:c r="L120" s="152" t="str">
        <x:v>구조점수 승계: 확인된 새 근거 없이 항목별 점수를 증감하지 않음. 최근 90일 검증된 가속도 근거 부족: 중립 가정 5점(실측 아님)</x:v>
      </x:c>
    </x:row>
    <x:row r="121" ht="94" customHeight="1">
      <x:c r="A121" s="157" t="n">
        <x:f>IF(I121="","",COUNTIF($I$5:$I$130,"&gt;"&amp;I121)+1)</x:f>
        <x:v>116</x:v>
      </x:c>
      <x:c r="B121" s="158" t="str">
        <x:v>MYERA</x:v>
      </x:c>
      <x:c r="C121" s="159" t="n">
        <x:v>6</x:v>
      </x:c>
      <x:c r="D121" s="159" t="n">
        <x:v>6</x:v>
      </x:c>
      <x:c r="E121" s="159" t="n">
        <x:v>5</x:v>
      </x:c>
      <x:c r="F121" s="159" t="n">
        <x:v>9</x:v>
      </x:c>
      <x:c r="G121" s="159" t="n">
        <x:v>5</x:v>
      </x:c>
      <x:c r="H121" s="159" t="n">
        <x:v>2</x:v>
      </x:c>
      <x:c r="I121" s="159" t="n">
        <x:f>IF(COUNT(C121:H121)=6,SUM(C121:H121),"")</x:f>
        <x:v>33</x:v>
      </x:c>
      <x:c r="J121" s="159" t="str">
        <x:f>IF(I121="","",IF(I121&gt;=90,"S+",IF(I121&gt;=80,"S",IF(I121&gt;=70,"A+",IF(I121&gt;=60,"A",IF(I121&gt;=50,"B+",IF(I121&gt;=40,"B",IF(I121&gt;=30,"C+",IF(I121&gt;=20,"C",IF(I121&gt;=10,"D+","D"))))))))))</x:f>
        <x:v>C+</x:v>
      </x:c>
      <x:c r="K121" s="159" t="str">
        <x:v>미검증 승계·잠정</x:v>
      </x:c>
      <x:c r="L121" s="152" t="str">
        <x:v>구조점수 승계: 확인된 새 근거 없이 항목별 점수를 증감하지 않음. 최근 90일 검증된 가속도 근거 부족: 중립 가정 5점(실측 아님)</x:v>
      </x:c>
    </x:row>
    <x:row r="122" ht="94" customHeight="1">
      <x:c r="A122" s="157" t="n">
        <x:f>IF(I122="","",COUNTIF($I$5:$I$130,"&gt;"&amp;I122)+1)</x:f>
        <x:v>116</x:v>
      </x:c>
      <x:c r="B122" s="158" t="str">
        <x:v>Ringwanderung</x:v>
      </x:c>
      <x:c r="C122" s="159" t="n">
        <x:v>8</x:v>
      </x:c>
      <x:c r="D122" s="159" t="n">
        <x:v>7</x:v>
      </x:c>
      <x:c r="E122" s="159" t="n">
        <x:v>5</x:v>
      </x:c>
      <x:c r="F122" s="159" t="n">
        <x:v>5</x:v>
      </x:c>
      <x:c r="G122" s="159" t="n">
        <x:v>5</x:v>
      </x:c>
      <x:c r="H122" s="159" t="n">
        <x:v>3</x:v>
      </x:c>
      <x:c r="I122" s="159" t="n">
        <x:f>IF(COUNT(C122:H122)=6,SUM(C122:H122),"")</x:f>
        <x:v>33</x:v>
      </x:c>
      <x:c r="J122" s="159" t="str">
        <x:f>IF(I122="","",IF(I122&gt;=90,"S+",IF(I122&gt;=80,"S",IF(I122&gt;=70,"A+",IF(I122&gt;=60,"A",IF(I122&gt;=50,"B+",IF(I122&gt;=40,"B",IF(I122&gt;=30,"C+",IF(I122&gt;=20,"C",IF(I122&gt;=10,"D+","D"))))))))))</x:f>
        <x:v>C+</x:v>
      </x:c>
      <x:c r="K122" s="159" t="str">
        <x:v>미검증 승계·잠정</x:v>
      </x:c>
      <x:c r="L122" s="152" t="str">
        <x:v>구조점수 승계: 확인된 새 근거 없이 항목별 점수를 증감하지 않음. 최근 90일 검증된 가속도 근거 부족: 중립 가정 5점(실측 아님)</x:v>
      </x:c>
    </x:row>
    <x:row r="123" ht="94" customHeight="1">
      <x:c r="A123" s="157" t="n">
        <x:f>IF(I123="","",COUNTIF($I$5:$I$130,"&gt;"&amp;I123)+1)</x:f>
        <x:v>119</x:v>
      </x:c>
      <x:c r="B123" s="158" t="str">
        <x:v>Kolokol</x:v>
      </x:c>
      <x:c r="C123" s="159" t="n">
        <x:v>8</x:v>
      </x:c>
      <x:c r="D123" s="159" t="n">
        <x:v>7</x:v>
      </x:c>
      <x:c r="E123" s="159" t="n">
        <x:v>4</x:v>
      </x:c>
      <x:c r="F123" s="159" t="n">
        <x:v>5</x:v>
      </x:c>
      <x:c r="G123" s="159" t="n">
        <x:v>5</x:v>
      </x:c>
      <x:c r="H123" s="159" t="n">
        <x:v>3</x:v>
      </x:c>
      <x:c r="I123" s="159" t="n">
        <x:f>IF(COUNT(C123:H123)=6,SUM(C123:H123),"")</x:f>
        <x:v>32</x:v>
      </x:c>
      <x:c r="J123" s="159" t="str">
        <x:f>IF(I123="","",IF(I123&gt;=90,"S+",IF(I123&gt;=80,"S",IF(I123&gt;=70,"A+",IF(I123&gt;=60,"A",IF(I123&gt;=50,"B+",IF(I123&gt;=40,"B",IF(I123&gt;=30,"C+",IF(I123&gt;=20,"C",IF(I123&gt;=10,"D+","D"))))))))))</x:f>
        <x:v>C+</x:v>
      </x:c>
      <x:c r="K123" s="159" t="str">
        <x:v>미검증 승계·잠정</x:v>
      </x:c>
      <x:c r="L123" s="152" t="str">
        <x:v>구조점수 승계: 확인된 새 근거 없이 항목별 점수를 증감하지 않음. 최근 90일 검증된 가속도 근거 부족: 중립 가정 5점(실측 아님)</x:v>
      </x:c>
    </x:row>
    <x:row r="124" ht="94" customHeight="1">
      <x:c r="A124" s="157" t="n">
        <x:f>IF(I124="","",COUNTIF($I$5:$I$130,"&gt;"&amp;I124)+1)</x:f>
        <x:v>119</x:v>
      </x:c>
      <x:c r="B124" s="158" t="str">
        <x:v>PinkySpice</x:v>
      </x:c>
      <x:c r="C124" s="159" t="n">
        <x:v>8</x:v>
      </x:c>
      <x:c r="D124" s="159" t="n">
        <x:v>6</x:v>
      </x:c>
      <x:c r="E124" s="159" t="n">
        <x:v>5</x:v>
      </x:c>
      <x:c r="F124" s="159" t="n">
        <x:v>5</x:v>
      </x:c>
      <x:c r="G124" s="159" t="n">
        <x:v>5</x:v>
      </x:c>
      <x:c r="H124" s="159" t="n">
        <x:v>3</x:v>
      </x:c>
      <x:c r="I124" s="159" t="n">
        <x:f>IF(COUNT(C124:H124)=6,SUM(C124:H124),"")</x:f>
        <x:v>32</x:v>
      </x:c>
      <x:c r="J124" s="159" t="str">
        <x:f>IF(I124="","",IF(I124&gt;=90,"S+",IF(I124&gt;=80,"S",IF(I124&gt;=70,"A+",IF(I124&gt;=60,"A",IF(I124&gt;=50,"B+",IF(I124&gt;=40,"B",IF(I124&gt;=30,"C+",IF(I124&gt;=20,"C",IF(I124&gt;=10,"D+","D"))))))))))</x:f>
        <x:v>C+</x:v>
      </x:c>
      <x:c r="K124" s="159" t="str">
        <x:v>미검증 승계·잠정</x:v>
      </x:c>
      <x:c r="L124" s="152" t="str">
        <x:v>구조점수 승계: 확인된 새 근거 없이 항목별 점수를 증감하지 않음. 최근 90일 검증된 가속도 근거 부족: 중립 가정 5점(실측 아님)</x:v>
      </x:c>
    </x:row>
    <x:row r="125" ht="94" customHeight="1">
      <x:c r="A125" s="157" t="n">
        <x:f>IF(I125="","",COUNTIF($I$5:$I$130,"&gt;"&amp;I125)+1)</x:f>
        <x:v>119</x:v>
      </x:c>
      <x:c r="B125" s="158" t="str">
        <x:v>すーぱーぷーばぁー!!</x:v>
      </x:c>
      <x:c r="C125" s="159" t="n">
        <x:v>8</x:v>
      </x:c>
      <x:c r="D125" s="159" t="n">
        <x:v>6</x:v>
      </x:c>
      <x:c r="E125" s="159" t="n">
        <x:v>4</x:v>
      </x:c>
      <x:c r="F125" s="159" t="n">
        <x:v>6</x:v>
      </x:c>
      <x:c r="G125" s="159" t="n">
        <x:v>5</x:v>
      </x:c>
      <x:c r="H125" s="159" t="n">
        <x:v>3</x:v>
      </x:c>
      <x:c r="I125" s="159" t="n">
        <x:f>IF(COUNT(C125:H125)=6,SUM(C125:H125),"")</x:f>
        <x:v>32</x:v>
      </x:c>
      <x:c r="J125" s="159" t="str">
        <x:f>IF(I125="","",IF(I125&gt;=90,"S+",IF(I125&gt;=80,"S",IF(I125&gt;=70,"A+",IF(I125&gt;=60,"A",IF(I125&gt;=50,"B+",IF(I125&gt;=40,"B",IF(I125&gt;=30,"C+",IF(I125&gt;=20,"C",IF(I125&gt;=10,"D+","D"))))))))))</x:f>
        <x:v>C+</x:v>
      </x:c>
      <x:c r="K125" s="159" t="str">
        <x:v>미검증 승계·잠정</x:v>
      </x:c>
      <x:c r="L125" s="152" t="str">
        <x:v>구조점수 승계: 확인된 새 근거 없이 항목별 점수를 증감하지 않음. 최근 90일 검증된 가속도 근거 부족: 중립 가정 5점(실측 아님)</x:v>
      </x:c>
    </x:row>
    <x:row r="126" ht="94" customHeight="1">
      <x:c r="A126" s="157" t="n">
        <x:f>IF(I126="","",COUNTIF($I$5:$I$130,"&gt;"&amp;I126)+1)</x:f>
        <x:v>119</x:v>
      </x:c>
      <x:c r="B126" s="158" t="str">
        <x:v>ルルネージュ</x:v>
      </x:c>
      <x:c r="C126" s="159" t="n">
        <x:v>8</x:v>
      </x:c>
      <x:c r="D126" s="159" t="n">
        <x:v>6</x:v>
      </x:c>
      <x:c r="E126" s="159" t="n">
        <x:v>4</x:v>
      </x:c>
      <x:c r="F126" s="159" t="n">
        <x:v>6</x:v>
      </x:c>
      <x:c r="G126" s="159" t="n">
        <x:v>5</x:v>
      </x:c>
      <x:c r="H126" s="159" t="n">
        <x:v>3</x:v>
      </x:c>
      <x:c r="I126" s="159" t="n">
        <x:f>IF(COUNT(C126:H126)=6,SUM(C126:H126),"")</x:f>
        <x:v>32</x:v>
      </x:c>
      <x:c r="J126" s="159" t="str">
        <x:f>IF(I126="","",IF(I126&gt;=90,"S+",IF(I126&gt;=80,"S",IF(I126&gt;=70,"A+",IF(I126&gt;=60,"A",IF(I126&gt;=50,"B+",IF(I126&gt;=40,"B",IF(I126&gt;=30,"C+",IF(I126&gt;=20,"C",IF(I126&gt;=10,"D+","D"))))))))))</x:f>
        <x:v>C+</x:v>
      </x:c>
      <x:c r="K126" s="159" t="str">
        <x:v>미검증 승계·잠정</x:v>
      </x:c>
      <x:c r="L126" s="152" t="str">
        <x:v>구조점수 승계: 확인된 새 근거 없이 항목별 점수를 증감하지 않음. 최근 90일 검증된 가속도 근거 부족: 중립 가정 5점(실측 아님)</x:v>
      </x:c>
    </x:row>
    <x:row r="127" ht="94" customHeight="1">
      <x:c r="A127" s="157" t="n">
        <x:f>IF(I127="","",COUNTIF($I$5:$I$130,"&gt;"&amp;I127)+1)</x:f>
        <x:v>119</x:v>
      </x:c>
      <x:c r="B127" s="158" t="str">
        <x:v>点染テンセイ少女。</x:v>
      </x:c>
      <x:c r="C127" s="159" t="n">
        <x:v>8</x:v>
      </x:c>
      <x:c r="D127" s="159" t="n">
        <x:v>6</x:v>
      </x:c>
      <x:c r="E127" s="159" t="n">
        <x:v>4</x:v>
      </x:c>
      <x:c r="F127" s="159" t="n">
        <x:v>6</x:v>
      </x:c>
      <x:c r="G127" s="159" t="n">
        <x:v>5</x:v>
      </x:c>
      <x:c r="H127" s="159" t="n">
        <x:v>3</x:v>
      </x:c>
      <x:c r="I127" s="159" t="n">
        <x:f>IF(COUNT(C127:H127)=6,SUM(C127:H127),"")</x:f>
        <x:v>32</x:v>
      </x:c>
      <x:c r="J127" s="159" t="str">
        <x:f>IF(I127="","",IF(I127&gt;=90,"S+",IF(I127&gt;=80,"S",IF(I127&gt;=70,"A+",IF(I127&gt;=60,"A",IF(I127&gt;=50,"B+",IF(I127&gt;=40,"B",IF(I127&gt;=30,"C+",IF(I127&gt;=20,"C",IF(I127&gt;=10,"D+","D"))))))))))</x:f>
        <x:v>C+</x:v>
      </x:c>
      <x:c r="K127" s="159" t="str">
        <x:v>미검증 승계·잠정</x:v>
      </x:c>
      <x:c r="L127" s="152" t="str">
        <x:v>구조점수 승계: 확인된 새 근거 없이 항목별 점수를 증감하지 않음. 최근 90일 검증된 가속도 근거 부족: 중립 가정 5점(실측 아님)</x:v>
      </x:c>
    </x:row>
    <x:row r="128" ht="94" customHeight="1">
      <x:c r="A128" s="157" t="n">
        <x:f>IF(I128="","",COUNTIF($I$5:$I$130,"&gt;"&amp;I128)+1)</x:f>
        <x:v>124</x:v>
      </x:c>
      <x:c r="B128" s="158" t="str">
        <x:v>SAI²Rium</x:v>
      </x:c>
      <x:c r="C128" s="159" t="n">
        <x:v>7</x:v>
      </x:c>
      <x:c r="D128" s="159" t="n">
        <x:v>6</x:v>
      </x:c>
      <x:c r="E128" s="159" t="n">
        <x:v>4</x:v>
      </x:c>
      <x:c r="F128" s="159" t="n">
        <x:v>6</x:v>
      </x:c>
      <x:c r="G128" s="159" t="n">
        <x:v>5</x:v>
      </x:c>
      <x:c r="H128" s="159" t="n">
        <x:v>3</x:v>
      </x:c>
      <x:c r="I128" s="159" t="n">
        <x:f>IF(COUNT(C128:H128)=6,SUM(C128:H128),"")</x:f>
        <x:v>31</x:v>
      </x:c>
      <x:c r="J128" s="159" t="str">
        <x:f>IF(I128="","",IF(I128&gt;=90,"S+",IF(I128&gt;=80,"S",IF(I128&gt;=70,"A+",IF(I128&gt;=60,"A",IF(I128&gt;=50,"B+",IF(I128&gt;=40,"B",IF(I128&gt;=30,"C+",IF(I128&gt;=20,"C",IF(I128&gt;=10,"D+","D"))))))))))</x:f>
        <x:v>C+</x:v>
      </x:c>
      <x:c r="K128" s="159" t="str">
        <x:v>미검증 승계·잠정</x:v>
      </x:c>
      <x:c r="L128" s="152" t="str">
        <x:v>구조점수 승계: 확인된 새 근거 없이 항목별 점수를 증감하지 않음. 최근 90일 검증된 가속도 근거 부족: 중립 가정 5점(실측 아님)</x:v>
      </x:c>
    </x:row>
    <x:row r="129" ht="94" customHeight="1">
      <x:c r="A129" s="157" t="n">
        <x:f>IF(I129="","",COUNTIF($I$5:$I$130,"&gt;"&amp;I129)+1)</x:f>
        <x:v>125</x:v>
      </x:c>
      <x:c r="B129" s="158" t="str">
        <x:v>Bunny La Crew</x:v>
      </x:c>
      <x:c r="C129" s="159" t="n">
        <x:v>7</x:v>
      </x:c>
      <x:c r="D129" s="159" t="n">
        <x:v>6</x:v>
      </x:c>
      <x:c r="E129" s="159" t="n">
        <x:v>4</x:v>
      </x:c>
      <x:c r="F129" s="159" t="n">
        <x:v>5</x:v>
      </x:c>
      <x:c r="G129" s="159" t="n">
        <x:v>5</x:v>
      </x:c>
      <x:c r="H129" s="159" t="n">
        <x:v>3</x:v>
      </x:c>
      <x:c r="I129" s="159" t="n">
        <x:f>IF(COUNT(C129:H129)=6,SUM(C129:H129),"")</x:f>
        <x:v>30</x:v>
      </x:c>
      <x:c r="J129" s="159" t="str">
        <x:f>IF(I129="","",IF(I129&gt;=90,"S+",IF(I129&gt;=80,"S",IF(I129&gt;=70,"A+",IF(I129&gt;=60,"A",IF(I129&gt;=50,"B+",IF(I129&gt;=40,"B",IF(I129&gt;=30,"C+",IF(I129&gt;=20,"C",IF(I129&gt;=10,"D+","D"))))))))))</x:f>
        <x:v>C+</x:v>
      </x:c>
      <x:c r="K129" s="159" t="str">
        <x:v>미검증 승계·잠정</x:v>
      </x:c>
      <x:c r="L129" s="152" t="str">
        <x:v>구조점수 승계: 확인된 새 근거 없이 항목별 점수를 증감하지 않음. 최근 90일 검증된 가속도 근거 부족: 중립 가정 5점(실측 아님)</x:v>
      </x:c>
    </x:row>
    <x:row r="130" ht="94" customHeight="1">
      <x:c r="A130" s="160" t="n">
        <x:f>IF(I130="","",COUNTIF($I$5:$I$130,"&gt;"&amp;I130)+1)</x:f>
        <x:v>126</x:v>
      </x:c>
      <x:c r="B130" s="161" t="str">
        <x:v>MORE STAR</x:v>
      </x:c>
      <x:c r="C130" s="162" t="n">
        <x:v>4</x:v>
      </x:c>
      <x:c r="D130" s="162" t="n">
        <x:v>6</x:v>
      </x:c>
      <x:c r="E130" s="162" t="n">
        <x:v>3</x:v>
      </x:c>
      <x:c r="F130" s="162" t="n">
        <x:v>6</x:v>
      </x:c>
      <x:c r="G130" s="162" t="n">
        <x:v>5</x:v>
      </x:c>
      <x:c r="H130" s="162" t="n">
        <x:v>2</x:v>
      </x:c>
      <x:c r="I130" s="162" t="n">
        <x:f>IF(COUNT(C130:H130)=6,SUM(C130:H130),"")</x:f>
        <x:v>26</x:v>
      </x:c>
      <x:c r="J130" s="162" t="str">
        <x:f>IF(I130="","",IF(I130&gt;=90,"S+",IF(I130&gt;=80,"S",IF(I130&gt;=70,"A+",IF(I130&gt;=60,"A",IF(I130&gt;=50,"B+",IF(I130&gt;=40,"B",IF(I130&gt;=30,"C+",IF(I130&gt;=20,"C",IF(I130&gt;=10,"D+","D"))))))))))</x:f>
        <x:v>C</x:v>
      </x:c>
      <x:c r="K130" s="162" t="str">
        <x:v>부분확인·잠정</x:v>
      </x:c>
      <x:c r="L130" s="156" t="str">
        <x:v>구조점수 승계: 확인된 새 근거 없이 항목별 점수를 증감하지 않음. 최근 90일 검증된 가속도 근거 부족: 중립 가정 5점(실측 아님)</x:v>
      </x:c>
    </x:row>
  </x:sheetData>
  <x:mergeCells>
    <x:mergeCell ref="A1:L1"/>
    <x:mergeCell ref="A2:L2"/>
  </x:mergeCells>
  <x:conditionalFormatting sqref="I5:I130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C5:C130">
    <x:cfRule type="dataBar" priority="2">
      <x:dataBar>
        <x:cfvo type="min"/>
        <x:cfvo type="max"/>
        <x:color rgb="FF7C3AED"/>
      </x:dataBar>
      <x:extLst>
        <x:ext xmlns:x14="http://schemas.microsoft.com/office/spreadsheetml/2009/9/main" uri="{B025F937-C7B1-47D3-B67F-A62EFF666E3E}">
          <x14:id>{5D1E4541-2130-4E7A-3E05-78CB8C144316}</x14:id>
        </x:ext>
      </x:extLst>
    </x:cfRule>
  </x:conditionalFormatting>
  <x:conditionalFormatting sqref="D5:D130">
    <x:cfRule type="dataBar" priority="3">
      <x:dataBar>
        <x:cfvo type="min"/>
        <x:cfvo type="max"/>
        <x:color rgb="FF7C3AED"/>
      </x:dataBar>
      <x:extLst>
        <x:ext xmlns:x14="http://schemas.microsoft.com/office/spreadsheetml/2009/9/main" uri="{B025F937-C7B1-47D3-B67F-A62EFF666E3E}">
          <x14:id>{E14553DE-345C-D60C-ACEE-FB41A5A57ACF}</x14:id>
        </x:ext>
      </x:extLst>
    </x:cfRule>
  </x:conditionalFormatting>
  <x:conditionalFormatting sqref="E5:E130">
    <x:cfRule type="dataBar" priority="4">
      <x:dataBar>
        <x:cfvo type="min"/>
        <x:cfvo type="max"/>
        <x:color rgb="FF7C3AED"/>
      </x:dataBar>
      <x:extLst>
        <x:ext xmlns:x14="http://schemas.microsoft.com/office/spreadsheetml/2009/9/main" uri="{B025F937-C7B1-47D3-B67F-A62EFF666E3E}">
          <x14:id>{4626ABDA-A97A-612B-02CA-41D18EE3B185}</x14:id>
        </x:ext>
      </x:extLst>
    </x:cfRule>
  </x:conditionalFormatting>
  <x:conditionalFormatting sqref="F5:F130">
    <x:cfRule type="dataBar" priority="5">
      <x:dataBar>
        <x:cfvo type="min"/>
        <x:cfvo type="max"/>
        <x:color rgb="FF7C3AED"/>
      </x:dataBar>
      <x:extLst>
        <x:ext xmlns:x14="http://schemas.microsoft.com/office/spreadsheetml/2009/9/main" uri="{B025F937-C7B1-47D3-B67F-A62EFF666E3E}">
          <x14:id>{C12C8FB7-0DE1-9CD1-EC27-3D3E0AA8F22D}</x14:id>
        </x:ext>
      </x:extLst>
    </x:cfRule>
  </x:conditionalFormatting>
  <x:conditionalFormatting sqref="G5:G130">
    <x:cfRule type="dataBar" priority="6">
      <x:dataBar>
        <x:cfvo type="min"/>
        <x:cfvo type="max"/>
        <x:color rgb="FF7C3AED"/>
      </x:dataBar>
      <x:extLst>
        <x:ext xmlns:x14="http://schemas.microsoft.com/office/spreadsheetml/2009/9/main" uri="{B025F937-C7B1-47D3-B67F-A62EFF666E3E}">
          <x14:id>{B4E52EA3-5C64-4549-5A2B-A51A57D7E998}</x14:id>
        </x:ext>
      </x:extLst>
    </x:cfRule>
  </x:conditionalFormatting>
  <x:conditionalFormatting sqref="H5:H130">
    <x:cfRule type="dataBar" priority="7">
      <x:dataBar>
        <x:cfvo type="min"/>
        <x:cfvo type="max"/>
        <x:color rgb="FF7C3AED"/>
      </x:dataBar>
      <x:extLst>
        <x:ext xmlns:x14="http://schemas.microsoft.com/office/spreadsheetml/2009/9/main" uri="{B025F937-C7B1-47D3-B67F-A62EFF666E3E}">
          <x14:id>{57BB37DC-04A9-3A37-B406-3EA60D12B534}</x14:id>
        </x:ext>
      </x:extLst>
    </x:cfRule>
  </x:conditionalFormatting>
  <x:conditionalFormatting sqref="J5:J130">
    <x:cfRule type="expression" dxfId="0" priority="8">
      <x:formula>J5="S+"</x:formula>
    </x:cfRule>
    <x:cfRule type="expression" dxfId="1" priority="9">
      <x:formula>J5="S"</x:formula>
    </x:cfRule>
    <x:cfRule type="expression" dxfId="2" priority="10">
      <x:formula>J5="A+"</x:formula>
    </x:cfRule>
    <x:cfRule type="expression" dxfId="3" priority="11">
      <x:formula>J5="A"</x:formula>
    </x:cfRule>
    <x:cfRule type="expression" dxfId="4" priority="12">
      <x:formula>J5="B+"</x:formula>
    </x:cfRule>
    <x:cfRule type="expression" dxfId="5" priority="13">
      <x:formula>J5="B"</x:formula>
    </x:cfRule>
    <x:cfRule type="expression" dxfId="6" priority="14">
      <x:formula>J5="C+"</x:formula>
    </x:cfRule>
    <x:cfRule type="expression" dxfId="7" priority="15">
      <x:formula>J5="C"</x:formula>
    </x:cfRule>
    <x:cfRule type="expression" dxfId="8" priority="16">
      <x:formula>J5="D+"</x:formula>
    </x:cfRule>
    <x:cfRule type="expression" dxfId="9" priority="17">
      <x:formula>J5="D"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1b8cdb6ed584152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5D1E4541-2130-4E7A-3E05-78CB8C144316}">
            <x14:dataBar gradient="1">
              <x14:cfvo type="min"/>
              <x14:cfvo type="max"/>
              <x14:fillColor rgb="FF7C3AED"/>
            </x14:dataBar>
          </x14:cfRule>
          <xm:sqref>C5:C130</xm:sqref>
        </x14:conditionalFormatting>
        <x14:conditionalFormatting>
          <x14:cfRule type="dataBar" priority="3" id="{E14553DE-345C-D60C-ACEE-FB41A5A57ACF}">
            <x14:dataBar gradient="1">
              <x14:cfvo type="min"/>
              <x14:cfvo type="max"/>
              <x14:fillColor rgb="FF7C3AED"/>
            </x14:dataBar>
          </x14:cfRule>
          <xm:sqref>D5:D130</xm:sqref>
        </x14:conditionalFormatting>
        <x14:conditionalFormatting>
          <x14:cfRule type="dataBar" priority="4" id="{4626ABDA-A97A-612B-02CA-41D18EE3B185}">
            <x14:dataBar gradient="1">
              <x14:cfvo type="min"/>
              <x14:cfvo type="max"/>
              <x14:fillColor rgb="FF7C3AED"/>
            </x14:dataBar>
          </x14:cfRule>
          <xm:sqref>E5:E130</xm:sqref>
        </x14:conditionalFormatting>
        <x14:conditionalFormatting>
          <x14:cfRule type="dataBar" priority="5" id="{C12C8FB7-0DE1-9CD1-EC27-3D3E0AA8F22D}">
            <x14:dataBar gradient="1">
              <x14:cfvo type="min"/>
              <x14:cfvo type="max"/>
              <x14:fillColor rgb="FF7C3AED"/>
            </x14:dataBar>
          </x14:cfRule>
          <xm:sqref>F5:F130</xm:sqref>
        </x14:conditionalFormatting>
        <x14:conditionalFormatting>
          <x14:cfRule type="dataBar" priority="6" id="{B4E52EA3-5C64-4549-5A2B-A51A57D7E998}">
            <x14:dataBar gradient="1">
              <x14:cfvo type="min"/>
              <x14:cfvo type="max"/>
              <x14:fillColor rgb="FF7C3AED"/>
            </x14:dataBar>
          </x14:cfRule>
          <xm:sqref>G5:G130</xm:sqref>
        </x14:conditionalFormatting>
        <x14:conditionalFormatting>
          <x14:cfRule type="dataBar" priority="7" id="{57BB37DC-04A9-3A37-B406-3EA60D12B534}">
            <x14:dataBar gradient="1">
              <x14:cfvo type="min"/>
              <x14:cfvo type="max"/>
              <x14:fillColor rgb="FF7C3AED"/>
            </x14:dataBar>
          </x14:cfRule>
          <xm:sqref>H5:H130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2" hidden="0" customWidth="1"/>
    <x:col min="3" max="3" width="18" hidden="0" customWidth="1"/>
    <x:col min="5" max="5" width="23" hidden="0" customWidth="1"/>
    <x:col min="6" max="6" width="15" hidden="0" customWidth="1"/>
  </x:cols>
  <x:sheetData>
    <x:row r="1">
      <x:c r="A1" s="163" t="str">
        <x:v>티어 요약</x:v>
      </x:c>
      <x:c r="B1" s="144"/>
      <x:c r="C1" s="144"/>
      <x:c r="D1" s="144"/>
      <x:c r="E1" s="144"/>
      <x:c r="F1" s="144"/>
    </x:row>
    <x:row r="2">
      <x:c r="A2" s="144"/>
      <x:c r="B2" s="144"/>
      <x:c r="C2" s="144"/>
      <x:c r="D2" s="144"/>
      <x:c r="E2" s="144"/>
      <x:c r="F2" s="144"/>
    </x:row>
    <x:row r="3">
      <x:c r="A3" s="164" t="str">
        <x:v>등급</x:v>
      </x:c>
      <x:c r="B3" s="165" t="str">
        <x:v>점수 구간</x:v>
      </x:c>
      <x:c r="C3" s="165" t="str">
        <x:v>그룹 수</x:v>
      </x:c>
      <x:c r="D3" s="166"/>
      <x:c r="E3" s="165" t="str">
        <x:v>지표</x:v>
      </x:c>
      <x:c r="F3" s="167" t="str">
        <x:v>전체 평균</x:v>
      </x:c>
    </x:row>
    <x:row r="4">
      <x:c r="A4" s="168" t="str">
        <x:v>S+</x:v>
      </x:c>
      <x:c r="B4" s="144" t="str">
        <x:v>90~100</x:v>
      </x:c>
      <x:c r="C4" s="144" t="n">
        <x:f>COUNTIF('전체 점수표'!$J$5:$J$130,A4)</x:f>
        <x:v>0</x:v>
      </x:c>
      <x:c r="D4" s="144"/>
      <x:c r="E4" s="144" t="str">
        <x:v>공연·현장</x:v>
      </x:c>
      <x:c r="F4" s="169" t="n">
        <x:f>AVERAGE('전체 점수표'!C5:C130)</x:f>
        <x:v>11.873015873015873</x:v>
      </x:c>
    </x:row>
    <x:row r="5">
      <x:c r="A5" s="170" t="str">
        <x:v>S</x:v>
      </x:c>
      <x:c r="B5" s="144" t="str">
        <x:v>80~89</x:v>
      </x:c>
      <x:c r="C5" s="144" t="n">
        <x:f>COUNTIF('전체 점수표'!$J$5:$J$130,A5)</x:f>
        <x:v>4</x:v>
      </x:c>
      <x:c r="D5" s="144"/>
      <x:c r="E5" s="144" t="str">
        <x:v>팬덤·구매력</x:v>
      </x:c>
      <x:c r="F5" s="169" t="n">
        <x:f>AVERAGE('전체 점수표'!D5:D130)</x:f>
        <x:v>9.722222222222221</x:v>
      </x:c>
    </x:row>
    <x:row r="6">
      <x:c r="A6" s="171" t="str">
        <x:v>A+</x:v>
      </x:c>
      <x:c r="B6" s="144" t="str">
        <x:v>70~79</x:v>
      </x:c>
      <x:c r="C6" s="144" t="n">
        <x:f>COUNTIF('전체 점수표'!$J$5:$J$130,A6)</x:f>
        <x:v>6</x:v>
      </x:c>
      <x:c r="D6" s="144"/>
      <x:c r="E6" s="144" t="str">
        <x:v>대중인지도</x:v>
      </x:c>
      <x:c r="F6" s="169" t="n">
        <x:f>AVERAGE('전체 점수표'!E5:E130)</x:f>
        <x:v>8.142857142857142</x:v>
      </x:c>
    </x:row>
    <x:row r="7">
      <x:c r="A7" s="172" t="str">
        <x:v>A</x:v>
      </x:c>
      <x:c r="B7" s="144" t="str">
        <x:v>60~69</x:v>
      </x:c>
      <x:c r="C7" s="144" t="n">
        <x:f>COUNTIF('전체 점수표'!$J$5:$J$130,A7)</x:f>
        <x:v>11</x:v>
      </x:c>
      <x:c r="D7" s="144"/>
      <x:c r="E7" s="144" t="str">
        <x:v>스트리밍·SNS</x:v>
      </x:c>
      <x:c r="F7" s="169" t="n">
        <x:f>AVERAGE('전체 점수표'!F5:F130)</x:f>
        <x:v>7.611111111111111</x:v>
      </x:c>
    </x:row>
    <x:row r="8">
      <x:c r="A8" s="173" t="str">
        <x:v>B+</x:v>
      </x:c>
      <x:c r="B8" s="144" t="str">
        <x:v>50~59</x:v>
      </x:c>
      <x:c r="C8" s="144" t="n">
        <x:f>COUNTIF('전체 점수표'!$J$5:$J$130,A8)</x:f>
        <x:v>18</x:v>
      </x:c>
      <x:c r="D8" s="144"/>
      <x:c r="E8" s="144" t="str">
        <x:v>현재 기세</x:v>
      </x:c>
      <x:c r="F8" s="169" t="n">
        <x:f>AVERAGE('전체 점수표'!G5:G130)</x:f>
        <x:v>5.023809523809524</x:v>
      </x:c>
    </x:row>
    <x:row r="9">
      <x:c r="A9" s="174" t="str">
        <x:v>B</x:v>
      </x:c>
      <x:c r="B9" s="144" t="str">
        <x:v>40~49</x:v>
      </x:c>
      <x:c r="C9" s="144" t="n">
        <x:f>COUNTIF('전체 점수표'!$J$5:$J$130,A9)</x:f>
        <x:v>38</x:v>
      </x:c>
      <x:c r="D9" s="144"/>
      <x:c r="E9" s="144" t="str">
        <x:v>업계 영향력</x:v>
      </x:c>
      <x:c r="F9" s="169" t="n">
        <x:f>AVERAGE('전체 점수표'!H5:H130)</x:f>
        <x:v>4.658730158730159</x:v>
      </x:c>
    </x:row>
    <x:row r="10">
      <x:c r="A10" s="175" t="str">
        <x:v>C+</x:v>
      </x:c>
      <x:c r="B10" s="144" t="str">
        <x:v>30~39</x:v>
      </x:c>
      <x:c r="C10" s="144" t="n">
        <x:f>COUNTIF('전체 점수표'!$J$5:$J$130,A10)</x:f>
        <x:v>48</x:v>
      </x:c>
      <x:c r="D10" s="144"/>
      <x:c r="E10" s="144" t="str">
        <x:v>총점</x:v>
      </x:c>
      <x:c r="F10" s="169" t="n">
        <x:f>AVERAGE('전체 점수표'!I5:I130)</x:f>
        <x:v>47.03174603174603</x:v>
      </x:c>
    </x:row>
    <x:row r="11">
      <x:c r="A11" s="176" t="str">
        <x:v>C</x:v>
      </x:c>
      <x:c r="B11" s="144" t="str">
        <x:v>20~29</x:v>
      </x:c>
      <x:c r="C11" s="144" t="n">
        <x:f>COUNTIF('전체 점수표'!$J$5:$J$130,A11)</x:f>
        <x:v>1</x:v>
      </x:c>
      <x:c r="D11" s="144"/>
      <x:c r="E11" s="144"/>
      <x:c r="F11" s="177"/>
    </x:row>
    <x:row r="12">
      <x:c r="A12" s="178" t="str">
        <x:v>D+</x:v>
      </x:c>
      <x:c r="B12" s="144" t="str">
        <x:v>10~19</x:v>
      </x:c>
      <x:c r="C12" s="144" t="n">
        <x:f>COUNTIF('전체 점수표'!$J$5:$J$130,A12)</x:f>
        <x:v>0</x:v>
      </x:c>
      <x:c r="D12" s="144"/>
      <x:c r="E12" s="144"/>
      <x:c r="F12" s="177"/>
    </x:row>
    <x:row r="13">
      <x:c r="A13" s="179" t="str">
        <x:v>D</x:v>
      </x:c>
      <x:c r="B13" s="144" t="str">
        <x:v>0~9</x:v>
      </x:c>
      <x:c r="C13" s="144" t="n">
        <x:f>COUNTIF('전체 점수표'!$J$5:$J$130,A13)</x:f>
        <x:v>0</x:v>
      </x:c>
      <x:c r="D13" s="144"/>
      <x:c r="E13" s="144"/>
      <x:c r="F13" s="177"/>
    </x:row>
    <x:row r="14">
      <x:c r="A14" s="180"/>
      <x:c r="B14" s="144"/>
      <x:c r="C14" s="144"/>
      <x:c r="D14" s="144"/>
      <x:c r="E14" s="144"/>
      <x:c r="F14" s="177"/>
    </x:row>
    <x:row r="15">
      <x:c r="A15" s="180"/>
      <x:c r="B15" s="144"/>
      <x:c r="C15" s="144"/>
      <x:c r="D15" s="144"/>
      <x:c r="E15" s="144"/>
      <x:c r="F15" s="177"/>
    </x:row>
    <x:row r="16">
      <x:c r="A16" s="181" t="str">
        <x:v>순위</x:v>
      </x:c>
      <x:c r="B16" s="182" t="str">
        <x:v>그룹</x:v>
      </x:c>
      <x:c r="C16" s="182" t="str">
        <x:v>총점</x:v>
      </x:c>
      <x:c r="D16" s="144"/>
      <x:c r="E16" s="144"/>
      <x:c r="F16" s="177"/>
    </x:row>
    <x:row r="17">
      <x:c r="A17" s="180" t="n">
        <x:f>'전체 점수표'!A5</x:f>
        <x:v>1</x:v>
      </x:c>
      <x:c r="B17" s="144" t="str">
        <x:f>'전체 점수표'!B5</x:f>
        <x:v>=LOVE</x:v>
      </x:c>
      <x:c r="C17" s="144" t="n">
        <x:f>'전체 점수표'!I5</x:f>
        <x:v>89</x:v>
      </x:c>
      <x:c r="D17" s="144"/>
      <x:c r="E17" s="144"/>
      <x:c r="F17" s="177"/>
    </x:row>
    <x:row r="18">
      <x:c r="A18" s="180" t="n">
        <x:f>'전체 점수표'!A6</x:f>
        <x:v>2</x:v>
      </x:c>
      <x:c r="B18" s="144" t="str">
        <x:f>'전체 점수표'!B6</x:f>
        <x:v>乃木坂46</x:v>
      </x:c>
      <x:c r="C18" s="144" t="n">
        <x:f>'전체 점수표'!I6</x:f>
        <x:v>87</x:v>
      </x:c>
      <x:c r="D18" s="144"/>
      <x:c r="E18" s="144"/>
      <x:c r="F18" s="177"/>
    </x:row>
    <x:row r="19">
      <x:c r="A19" s="180" t="n">
        <x:f>'전체 점수표'!A7</x:f>
        <x:v>3</x:v>
      </x:c>
      <x:c r="B19" s="144" t="str">
        <x:f>'전체 점수표'!B7</x:f>
        <x:v>FRUITS ZIPPER</x:v>
      </x:c>
      <x:c r="C19" s="144" t="n">
        <x:f>'전체 점수표'!I7</x:f>
        <x:v>81</x:v>
      </x:c>
      <x:c r="D19" s="144"/>
      <x:c r="E19" s="144"/>
      <x:c r="F19" s="177"/>
    </x:row>
    <x:row r="20">
      <x:c r="A20" s="180" t="n">
        <x:f>'전체 점수표'!A8</x:f>
        <x:v>3</x:v>
      </x:c>
      <x:c r="B20" s="144" t="str">
        <x:f>'전체 점수표'!B8</x:f>
        <x:v>櫻坂46</x:v>
      </x:c>
      <x:c r="C20" s="144" t="n">
        <x:f>'전체 점수표'!I8</x:f>
        <x:v>81</x:v>
      </x:c>
      <x:c r="D20" s="144"/>
      <x:c r="E20" s="144"/>
      <x:c r="F20" s="177"/>
    </x:row>
    <x:row r="21">
      <x:c r="A21" s="180" t="n">
        <x:f>'전체 점수표'!A9</x:f>
        <x:v>5</x:v>
      </x:c>
      <x:c r="B21" s="144" t="str">
        <x:f>'전체 점수표'!B9</x:f>
        <x:v>NiziU</x:v>
      </x:c>
      <x:c r="C21" s="144" t="n">
        <x:f>'전체 점수표'!I9</x:f>
        <x:v>79</x:v>
      </x:c>
      <x:c r="D21" s="144"/>
      <x:c r="E21" s="144"/>
      <x:c r="F21" s="177"/>
    </x:row>
    <x:row r="22">
      <x:c r="A22" s="180" t="n">
        <x:f>'전체 점수표'!A10</x:f>
        <x:v>6</x:v>
      </x:c>
      <x:c r="B22" s="144" t="str">
        <x:f>'전체 점수표'!B10</x:f>
        <x:v>CUTIE STREET</x:v>
      </x:c>
      <x:c r="C22" s="144" t="n">
        <x:f>'전체 점수표'!I10</x:f>
        <x:v>76</x:v>
      </x:c>
      <x:c r="D22" s="144"/>
      <x:c r="E22" s="144"/>
      <x:c r="F22" s="177"/>
    </x:row>
    <x:row r="23">
      <x:c r="A23" s="180" t="n">
        <x:f>'전체 점수표'!A11</x:f>
        <x:v>7</x:v>
      </x:c>
      <x:c r="B23" s="144" t="str">
        <x:f>'전체 점수표'!B11</x:f>
        <x:v>AKB48</x:v>
      </x:c>
      <x:c r="C23" s="144" t="n">
        <x:f>'전체 점수표'!I11</x:f>
        <x:v>74</x:v>
      </x:c>
      <x:c r="D23" s="144"/>
      <x:c r="E23" s="144"/>
      <x:c r="F23" s="177"/>
    </x:row>
    <x:row r="24">
      <x:c r="A24" s="180" t="n">
        <x:f>'전체 점수표'!A12</x:f>
        <x:v>7</x:v>
      </x:c>
      <x:c r="B24" s="144" t="str">
        <x:f>'전체 점수표'!B12</x:f>
        <x:v>日向坂46</x:v>
      </x:c>
      <x:c r="C24" s="144" t="n">
        <x:f>'전체 점수표'!I12</x:f>
        <x:v>74</x:v>
      </x:c>
      <x:c r="D24" s="144"/>
      <x:c r="E24" s="144"/>
      <x:c r="F24" s="177"/>
    </x:row>
    <x:row r="25">
      <x:c r="A25" s="180" t="n">
        <x:f>'전체 점수표'!A13</x:f>
        <x:v>9</x:v>
      </x:c>
      <x:c r="B25" s="144" t="str">
        <x:f>'전체 점수표'!B13</x:f>
        <x:v>ME:I</x:v>
      </x:c>
      <x:c r="C25" s="144" t="n">
        <x:f>'전체 점수표'!I13</x:f>
        <x:v>72</x:v>
      </x:c>
      <x:c r="D25" s="144"/>
      <x:c r="E25" s="144"/>
      <x:c r="F25" s="177"/>
    </x:row>
    <x:row r="26">
      <x:c r="A26" s="180" t="n">
        <x:f>'전체 점수표'!A14</x:f>
        <x:v>9</x:v>
      </x:c>
      <x:c r="B26" s="144" t="str">
        <x:f>'전체 점수표'!B14</x:f>
        <x:v>超ときめき♡宣伝部</x:v>
      </x:c>
      <x:c r="C26" s="144" t="n">
        <x:f>'전체 점수표'!I14</x:f>
        <x:v>72</x:v>
      </x:c>
      <x:c r="D26" s="144"/>
      <x:c r="E26" s="144"/>
      <x:c r="F26" s="177"/>
    </x:row>
    <x:row r="27">
      <x:c r="A27" s="180" t="n">
        <x:f>'전체 점수표'!A15</x:f>
        <x:v>11</x:v>
      </x:c>
      <x:c r="B27" s="144" t="str">
        <x:f>'전체 점수표'!B15</x:f>
        <x:v>i☆Ris</x:v>
      </x:c>
      <x:c r="C27" s="144" t="n">
        <x:f>'전체 점수표'!I15</x:f>
        <x:v>69</x:v>
      </x:c>
      <x:c r="D27" s="144"/>
      <x:c r="E27" s="144"/>
      <x:c r="F27" s="177"/>
    </x:row>
    <x:row r="28">
      <x:c r="A28" s="180" t="n">
        <x:f>'전체 점수표'!A16</x:f>
        <x:v>12</x:v>
      </x:c>
      <x:c r="B28" s="144" t="str">
        <x:f>'전체 점수표'!B16</x:f>
        <x:v>モーニング娘。'26</x:v>
      </x:c>
      <x:c r="C28" s="144" t="n">
        <x:f>'전체 점수표'!I16</x:f>
        <x:v>68</x:v>
      </x:c>
      <x:c r="D28" s="144"/>
      <x:c r="E28" s="144"/>
      <x:c r="F28" s="177"/>
    </x:row>
    <x:row r="29">
      <x:c r="A29" s="180" t="n">
        <x:f>'전체 점수표'!A17</x:f>
        <x:v>12</x:v>
      </x:c>
      <x:c r="B29" s="144" t="str">
        <x:f>'전체 점수표'!B17</x:f>
        <x:v>ももいろクローバーZ</x:v>
      </x:c>
      <x:c r="C29" s="144" t="n">
        <x:f>'전체 점수표'!I17</x:f>
        <x:v>68</x:v>
      </x:c>
      <x:c r="D29" s="144"/>
      <x:c r="E29" s="144"/>
      <x:c r="F29" s="177"/>
    </x:row>
    <x:row r="30">
      <x:c r="A30" s="180" t="n">
        <x:f>'전체 점수표'!A18</x:f>
        <x:v>14</x:v>
      </x:c>
      <x:c r="B30" s="144" t="str">
        <x:f>'전체 점수표'!B18</x:f>
        <x:v>≠ME</x:v>
      </x:c>
      <x:c r="C30" s="144" t="n">
        <x:f>'전체 점수표'!I18</x:f>
        <x:v>67</x:v>
      </x:c>
      <x:c r="D30" s="144"/>
      <x:c r="E30" s="144"/>
      <x:c r="F30" s="177"/>
    </x:row>
    <x:row r="31">
      <x:c r="A31" s="180" t="n">
        <x:f>'전체 점수표'!A19</x:f>
        <x:v>15</x:v>
      </x:c>
      <x:c r="B31" s="144" t="str">
        <x:f>'전체 점수표'!B19</x:f>
        <x:v>CANDY TUNE</x:v>
      </x:c>
      <x:c r="C31" s="144" t="n">
        <x:f>'전체 점수표'!I19</x:f>
        <x:v>66</x:v>
      </x:c>
      <x:c r="D31" s="144"/>
      <x:c r="E31" s="144"/>
      <x:c r="F31" s="177"/>
    </x:row>
    <x:row r="32">
      <x:c r="A32" s="180" t="n">
        <x:f>'전체 점수표'!A20</x:f>
        <x:v>15</x:v>
      </x:c>
      <x:c r="B32" s="144" t="str">
        <x:f>'전체 점수표'!B20</x:f>
        <x:v>いぎなり東北産</x:v>
      </x:c>
      <x:c r="C32" s="144" t="n">
        <x:f>'전체 점수표'!I20</x:f>
        <x:v>66</x:v>
      </x:c>
      <x:c r="D32" s="144"/>
      <x:c r="E32" s="144"/>
      <x:c r="F32" s="177"/>
    </x:row>
    <x:row r="33">
      <x:c r="A33" s="180" t="n">
        <x:f>'전체 점수표'!A21</x:f>
        <x:v>17</x:v>
      </x:c>
      <x:c r="B33" s="144" t="str">
        <x:f>'전체 점수표'!B21</x:f>
        <x:v>iLiFE!</x:v>
      </x:c>
      <x:c r="C33" s="144" t="n">
        <x:f>'전체 점수표'!I21</x:f>
        <x:v>65</x:v>
      </x:c>
      <x:c r="D33" s="144"/>
      <x:c r="E33" s="144"/>
      <x:c r="F33" s="177"/>
    </x:row>
    <x:row r="34">
      <x:c r="A34" s="180" t="n">
        <x:f>'전체 점수표'!A22</x:f>
        <x:v>18</x:v>
      </x:c>
      <x:c r="B34" s="144" t="str">
        <x:f>'전체 점수표'!B22</x:f>
        <x:v>Juice=Juice</x:v>
      </x:c>
      <x:c r="C34" s="144" t="n">
        <x:f>'전체 점수표'!I22</x:f>
        <x:v>64</x:v>
      </x:c>
      <x:c r="D34" s="144"/>
      <x:c r="E34" s="144"/>
      <x:c r="F34" s="177"/>
    </x:row>
    <x:row r="35">
      <x:c r="A35" s="180" t="n">
        <x:f>'전체 점수표'!A23</x:f>
        <x:v>19</x:v>
      </x:c>
      <x:c r="B35" s="144" t="str">
        <x:f>'전체 점수표'!B23</x:f>
        <x:v>HANA</x:v>
      </x:c>
      <x:c r="C35" s="144" t="n">
        <x:f>'전체 점수표'!I23</x:f>
        <x:v>63</x:v>
      </x:c>
      <x:c r="D35" s="144"/>
      <x:c r="E35" s="144"/>
      <x:c r="F35" s="177"/>
    </x:row>
    <x:row r="36">
      <x:c r="A36" s="183" t="n">
        <x:f>'전체 점수표'!A24</x:f>
        <x:v>20</x:v>
      </x:c>
      <x:c r="B36" s="184" t="str">
        <x:f>'전체 점수표'!B24</x:f>
        <x:v>HKT48</x:v>
      </x:c>
      <x:c r="C36" s="184" t="n">
        <x:f>'전체 점수표'!I24</x:f>
        <x:v>61</x:v>
      </x:c>
      <x:c r="D36" s="184"/>
      <x:c r="E36" s="184"/>
      <x:c r="F36" s="185"/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fac1bf8dda564f89"/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2" hidden="0" customWidth="1"/>
    <x:col min="3" max="3" width="64" hidden="0" customWidth="1"/>
    <x:col min="4" max="4" width="72" hidden="0" customWidth="1"/>
  </x:cols>
  <x:sheetData>
    <x:row r="1">
      <x:c r="A1" s="163" t="str">
        <x:v>평가기준 및 해석</x:v>
      </x:c>
      <x:c r="B1" s="144"/>
      <x:c r="C1" s="144"/>
      <x:c r="D1" s="144"/>
    </x:row>
    <x:row r="2">
      <x:c r="A2" s="144"/>
      <x:c r="B2" s="144"/>
      <x:c r="C2" s="144"/>
      <x:c r="D2" s="144"/>
    </x:row>
    <x:row r="3">
      <x:c r="A3" s="191" t="str">
        <x:v>지표</x:v>
      </x:c>
      <x:c r="B3" s="192" t="str">
        <x:v>만점</x:v>
      </x:c>
      <x:c r="C3" s="192" t="str">
        <x:v>평가 내용</x:v>
      </x:c>
      <x:c r="D3" s="193" t="str">
        <x:v>해석</x:v>
      </x:c>
    </x:row>
    <x:row r="4">
      <x:c r="A4" s="194" t="str">
        <x:v>공연·현장</x:v>
      </x:c>
      <x:c r="B4" s="195" t="n">
        <x:v>25</x:v>
      </x:c>
      <x:c r="C4" s="195" t="str">
        <x:v>단독공연 규모, 투어 회차, 매진 여부, 공연장 급</x:v>
      </x:c>
      <x:c r="D4" s="196" t="str">
        <x:v>일본 아이돌 체급에서 가장 높은 비중</x:v>
      </x:c>
    </x:row>
    <x:row r="5">
      <x:c r="A5" s="194" t="str">
        <x:v>팬덤·구매력</x:v>
      </x:c>
      <x:c r="B5" s="195" t="n">
        <x:v>20</x:v>
      </x:c>
      <x:c r="C5" s="195" t="str">
        <x:v>CD/특전회/굿즈/팬클럽/티켓 구매력</x:v>
      </x:c>
      <x:c r="D5" s="196" t="str">
        <x:v>판매량만이 아니라 코어 팬덤 폭과 지속성 반영</x:v>
      </x:c>
    </x:row>
    <x:row r="6">
      <x:c r="A6" s="194" t="str">
        <x:v>대중인지도</x:v>
      </x:c>
      <x:c r="B6" s="195" t="n">
        <x:v>20</x:v>
      </x:c>
      <x:c r="C6" s="195" t="str">
        <x:v>일반 검색 관심, 대표곡 인지도, TV·광고·예능 노출</x:v>
      </x:c>
      <x:c r="D6" s="196" t="str">
        <x:v>코어 팬덤 밖의 인지도</x:v>
      </x:c>
    </x:row>
    <x:row r="7">
      <x:c r="A7" s="194" t="str">
        <x:v>스트리밍·SNS</x:v>
      </x:c>
      <x:c r="B7" s="195" t="n">
        <x:v>15</x:v>
      </x:c>
      <x:c r="C7" s="195" t="str">
        <x:v>스트리밍, YouTube, TikTok, X 화제량</x:v>
      </x:c>
      <x:c r="D7" s="196" t="str">
        <x:v>온라인 소비와 바이럴 파워</x:v>
      </x:c>
    </x:row>
    <x:row r="8" ht="70" customHeight="1">
      <x:c r="A8" s="194" t="str">
        <x:v>현재 기세</x:v>
      </x:c>
      <x:c r="B8" s="195" t="n">
        <x:v>10</x:v>
      </x:c>
      <x:c r="C8" s="195" t="str">
        <x:v>최근 90일 확인된 상승 가속도·활동 제약</x:v>
      </x:c>
      <x:c r="D8" s="196" t="str">
        <x:v>0~4 제약, 5 중립 가정, 6 발매, 7 제한적 개선, 8 단일 돌파, 9 복수 돌파, 10 시장 최상위 돌파. 인원 비율 상한 없음.</x:v>
      </x:c>
    </x:row>
    <x:row r="9">
      <x:c r="A9" s="194" t="str">
        <x:v>업계 영향력</x:v>
      </x:c>
      <x:c r="B9" s="195" t="n">
        <x:v>10</x:v>
      </x:c>
      <x:c r="C9" s="195" t="str">
        <x:v>메이저 음악방송, 페스티벌, CM, 잡지, 레이블/프로젝트 영향</x:v>
      </x:c>
      <x:c r="D9" s="196" t="str">
        <x:v>업계 내 지속적인 존재감</x:v>
      </x:c>
    </x:row>
    <x:row r="10">
      <x:c r="A10" s="194"/>
      <x:c r="B10" s="195"/>
      <x:c r="C10" s="195"/>
      <x:c r="D10" s="196"/>
    </x:row>
    <x:row r="11">
      <x:c r="A11" s="194"/>
      <x:c r="B11" s="195"/>
      <x:c r="C11" s="195"/>
      <x:c r="D11" s="196"/>
    </x:row>
    <x:row r="12">
      <x:c r="A12" s="197" t="str">
        <x:v>등급</x:v>
      </x:c>
      <x:c r="B12" s="198" t="str">
        <x:v>총점</x:v>
      </x:c>
      <x:c r="C12" s="198" t="str">
        <x:v>의미</x:v>
      </x:c>
      <x:c r="D12" s="196"/>
    </x:row>
    <x:row r="13">
      <x:c r="A13" s="194" t="str">
        <x:v>S+</x:v>
      </x:c>
      <x:c r="B13" s="195" t="str">
        <x:v>90~100</x:v>
      </x:c>
      <x:c r="C13" s="195" t="str">
        <x:v>일본 여성아이돌 최상위권</x:v>
      </x:c>
      <x:c r="D13" s="196"/>
    </x:row>
    <x:row r="14">
      <x:c r="A14" s="194" t="str">
        <x:v>S</x:v>
      </x:c>
      <x:c r="B14" s="195" t="str">
        <x:v>80~89</x:v>
      </x:c>
      <x:c r="C14" s="195" t="str">
        <x:v>대형 체급</x:v>
      </x:c>
      <x:c r="D14" s="196"/>
    </x:row>
    <x:row r="15">
      <x:c r="A15" s="194" t="str">
        <x:v>A+</x:v>
      </x:c>
      <x:c r="B15" s="195" t="str">
        <x:v>70~79</x:v>
      </x:c>
      <x:c r="C15" s="195" t="str">
        <x:v>상위권</x:v>
      </x:c>
      <x:c r="D15" s="196"/>
    </x:row>
    <x:row r="16">
      <x:c r="A16" s="194" t="str">
        <x:v>A</x:v>
      </x:c>
      <x:c r="B16" s="195" t="str">
        <x:v>60~69</x:v>
      </x:c>
      <x:c r="C16" s="195" t="str">
        <x:v>중상위권</x:v>
      </x:c>
      <x:c r="D16" s="196"/>
    </x:row>
    <x:row r="17">
      <x:c r="A17" s="194" t="str">
        <x:v>B+</x:v>
      </x:c>
      <x:c r="B17" s="195" t="str">
        <x:v>50~59</x:v>
      </x:c>
      <x:c r="C17" s="195" t="str">
        <x:v>중견·강한 라이브/팬덤</x:v>
      </x:c>
      <x:c r="D17" s="196"/>
    </x:row>
    <x:row r="18">
      <x:c r="A18" s="194" t="str">
        <x:v>B</x:v>
      </x:c>
      <x:c r="B18" s="195" t="str">
        <x:v>40~49</x:v>
      </x:c>
      <x:c r="C18" s="195" t="str">
        <x:v>안정적인 중위 라이브아이돌권</x:v>
      </x:c>
      <x:c r="D18" s="196"/>
    </x:row>
    <x:row r="19">
      <x:c r="A19" s="194" t="str">
        <x:v>C+</x:v>
      </x:c>
      <x:c r="B19" s="195" t="str">
        <x:v>30~39</x:v>
      </x:c>
      <x:c r="C19" s="195" t="str">
        <x:v>소형·지역/현장 중심</x:v>
      </x:c>
      <x:c r="D19" s="196"/>
    </x:row>
    <x:row r="20">
      <x:c r="A20" s="194" t="str">
        <x:v>C</x:v>
      </x:c>
      <x:c r="B20" s="195" t="str">
        <x:v>20~29</x:v>
      </x:c>
      <x:c r="C20" s="195" t="str">
        <x:v>초소형 또는 제한적 활동 기반</x:v>
      </x:c>
      <x:c r="D20" s="196"/>
    </x:row>
    <x:row r="21">
      <x:c r="A21" s="194" t="str">
        <x:v>D+</x:v>
      </x:c>
      <x:c r="B21" s="195" t="str">
        <x:v>10~19</x:v>
      </x:c>
      <x:c r="C21" s="195" t="str">
        <x:v>신생·극소규모</x:v>
      </x:c>
      <x:c r="D21" s="196"/>
    </x:row>
    <x:row r="22">
      <x:c r="A22" s="194" t="str">
        <x:v>D</x:v>
      </x:c>
      <x:c r="B22" s="195" t="str">
        <x:v>0~9</x:v>
      </x:c>
      <x:c r="C22" s="195" t="str">
        <x:v>데이터 부족 또는 매우 초기 단계</x:v>
      </x:c>
      <x:c r="D22" s="196"/>
    </x:row>
    <x:row r="23" ht="36" customHeight="1">
      <x:c r="A23" s="230" t="str">
        <x:v>점수는 잠정 판단이다. 초기값·근거 승계·기세 유효기간·국가 간 비교 제한은 검증·방법론을 따른다.</x:v>
      </x:c>
      <x:c r="B23" s="230"/>
      <x:c r="C23" s="230"/>
      <x:c r="D23" s="230"/>
    </x:row>
    <x:row r="24" ht="36" customHeight="1">
      <x:c r="A24" s="230"/>
      <x:c r="B24" s="230"/>
      <x:c r="C24" s="230"/>
      <x:c r="D24" s="230"/>
    </x:row>
    <x:row r="25" ht="36" customHeight="1">
      <x:c r="A25" s="231" t="str">
        <x:v>점수는 확인된 사건에 대한 평가 판단과 원본 잠정 시작값을 포함한다. 월별 기준일 이후 성과를 선반영하지 않으며, 자료 부족은 신뢰도 열에 표시한다.</x:v>
      </x:c>
      <x:c r="B25" s="230"/>
      <x:c r="C25" s="230"/>
      <x:c r="D25" s="230"/>
    </x:row>
  </x:sheetData>
  <x:mergeCells>
    <x:mergeCell ref="A1:F1"/>
    <x:mergeCell ref="A25:D25"/>
    <x:mergeCell ref="A23:D2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5" hidden="0" customWidth="1"/>
    <x:col min="2" max="2" width="28" hidden="0" customWidth="1"/>
    <x:col min="3" max="3" width="22" hidden="0" customWidth="1"/>
    <x:col min="4" max="4" width="28" hidden="0" customWidth="1"/>
    <x:col min="5" max="5" width="88" hidden="0" customWidth="1"/>
    <x:col min="6" max="6" width="90" hidden="0" customWidth="1"/>
  </x:cols>
  <x:sheetData>
    <x:row r="1">
      <x:c r="A1" s="211" t="str">
        <x:v>자료 출처와 검증 구분</x:v>
      </x:c>
      <x:c r="B1" s="158"/>
      <x:c r="C1" s="158"/>
      <x:c r="D1" s="158"/>
      <x:c r="E1" s="150"/>
      <x:c r="F1" s="150"/>
    </x:row>
    <x:row r="2">
      <x:c r="A2" s="150"/>
      <x:c r="B2" s="150"/>
      <x:c r="C2" s="150"/>
      <x:c r="D2" s="150"/>
      <x:c r="E2" s="150"/>
      <x:c r="F2" s="150"/>
    </x:row>
    <x:row r="3">
      <x:c r="A3" s="212"/>
      <x:c r="B3" s="213"/>
      <x:c r="C3" s="213"/>
      <x:c r="D3" s="214"/>
      <x:c r="E3" s="150"/>
      <x:c r="F3" s="150"/>
    </x:row>
    <x:row r="4" ht="32" customHeight="1">
      <x:c r="A4" s="225" t="str">
        <x:v>ID</x:v>
      </x:c>
      <x:c r="B4" s="190" t="str">
        <x:v>대상</x:v>
      </x:c>
      <x:c r="C4" s="190" t="str">
        <x:v>반영 가능한 공개일</x:v>
      </x:c>
      <x:c r="D4" s="226" t="str">
        <x:v>검증 구분</x:v>
      </x:c>
      <x:c r="E4" s="190" t="str">
        <x:v>내용</x:v>
      </x:c>
      <x:c r="F4" s="190" t="str">
        <x:v>URL</x:v>
      </x:c>
    </x:row>
    <x:row r="5" ht="62" customHeight="1">
      <x:c r="A5" s="227" t="str">
        <x:v>E056</x:v>
      </x:c>
      <x:c r="B5" s="158" t="str">
        <x:v>CUTIE STREET</x:v>
      </x:c>
      <x:c r="C5" s="158" t="str">
        <x:v>2025-02-04</x:v>
      </x:c>
      <x:c r="D5" s="152" t="str">
        <x:v>이번 수정 확인 자료</x:v>
      </x:c>
      <x:c r="E5" s="158" t="str">
        <x:v>2월 2일 첫 단독 공연 Toyosu PIT 개최 확인.</x:v>
      </x:c>
      <x:c r="F5" s="158" t="str">
        <x:v>https://asobisystem.com/en/news/54130/</x:v>
      </x:c>
    </x:row>
    <x:row r="6" ht="62" customHeight="1">
      <x:c r="A6" s="227" t="str">
        <x:v>E057</x:v>
      </x:c>
      <x:c r="B6" s="158" t="str">
        <x:v>HANA</x:v>
      </x:c>
      <x:c r="C6" s="158" t="str">
        <x:v>2025-04-09</x:v>
      </x:c>
      <x:c r="D6" s="152" t="str">
        <x:v>이번 수정 확인 자료</x:v>
      </x:c>
      <x:c r="E6" s="158" t="str">
        <x:v>ROSE Billboard Japan Hot100 1위, 주간 스트리밍 약 878만 회.</x:v>
      </x:c>
      <x:c r="F6" s="158" t="str">
        <x:v>https://www.billboard-japan.com/d_news/detail/148286/2</x:v>
      </x:c>
    </x:row>
    <x:row r="7" ht="62" customHeight="1">
      <x:c r="A7" s="227" t="str">
        <x:v>E058</x:v>
      </x:c>
      <x:c r="B7" s="158" t="str">
        <x:v>HANA</x:v>
      </x:c>
      <x:c r="C7" s="158" t="str">
        <x:v>2025-04-30</x:v>
      </x:c>
      <x:c r="D7" s="152" t="str">
        <x:v>이번 수정 확인 자료</x:v>
      </x:c>
      <x:c r="E7" s="158" t="str">
        <x:v>ROSE Hot100 재차 1위. CD 46,866장 집계.</x:v>
      </x:c>
      <x:c r="F7" s="158" t="str">
        <x:v>https://www.billboard-japan.com/d_news/detail/149019/</x:v>
      </x:c>
    </x:row>
    <x:row r="8" ht="62" customHeight="1">
      <x:c r="A8" s="228" t="str">
        <x:v>E059</x:v>
      </x:c>
      <x:c r="B8" s="161" t="str">
        <x:v>FRUITS ZIPPER</x:v>
      </x:c>
      <x:c r="C8" s="161" t="str">
        <x:v>2025-06-04</x:v>
      </x:c>
      <x:c r="D8" s="156" t="str">
        <x:v>이번 수정 확인 자료</x:v>
      </x:c>
      <x:c r="E8" s="158" t="str">
        <x:v>사이타마 슈퍼아레나 약 18,000명 공연 보고.</x:v>
      </x:c>
      <x:c r="F8" s="158" t="str">
        <x:v>https://asobisystem.com/news/58466/</x:v>
      </x:c>
    </x:row>
    <x:row r="9" ht="62" customHeight="1">
      <x:c r="A9" s="158" t="str">
        <x:v>E060</x:v>
      </x:c>
      <x:c r="B9" s="158" t="str">
        <x:v>FRUITS ZIPPER</x:v>
      </x:c>
      <x:c r="C9" s="158" t="str">
        <x:v>2025-08-04</x:v>
      </x:c>
      <x:c r="D9" s="158" t="str">
        <x:v>이번 수정 확인 자료</x:v>
      </x:c>
      <x:c r="E9" s="158" t="str">
        <x:v>사이타마 슈퍼아레나 2일 공연 약 5만 명.</x:v>
      </x:c>
      <x:c r="F9" s="158" t="str">
        <x:v>https://www.oricon.co.jp/news/2399205/full/</x:v>
      </x:c>
    </x:row>
    <x:row r="10" ht="62" customHeight="1">
      <x:c r="A10" s="158" t="str">
        <x:v>E061</x:v>
      </x:c>
      <x:c r="B10" s="158" t="str">
        <x:v>iLiFE!</x:v>
      </x:c>
      <x:c r="C10" s="158" t="str">
        <x:v>2025-08-27</x:v>
      </x:c>
      <x:c r="D10" s="158" t="str">
        <x:v>이번 수정 확인 자료</x:v>
      </x:c>
      <x:c r="E10" s="158" t="str">
        <x:v>첫 일본무도관 단독 공연·티켓 매진 보도.</x:v>
      </x:c>
      <x:c r="F10" s="158" t="str">
        <x:v>https://prtimes.jp/main/html/rd/p/000001805.000064643.html</x:v>
      </x:c>
    </x:row>
    <x:row r="11" ht="62" customHeight="1">
      <x:c r="A11" s="158" t="str">
        <x:v>E062</x:v>
      </x:c>
      <x:c r="B11" s="158" t="str">
        <x:v>CUTIE STREET</x:v>
      </x:c>
      <x:c r="C11" s="158" t="str">
        <x:v>2025-10-31</x:v>
      </x:c>
      <x:c r="D11" s="158" t="str">
        <x:v>이번 수정 확인 자료</x:v>
      </x:c>
      <x:c r="E11" s="158" t="str">
        <x:v>대표곡 누적 스트리밍 2억 돌파.</x:v>
      </x:c>
      <x:c r="F11" s="158" t="str">
        <x:v>https://www.oricon.co.jp/news/2413829/full/</x:v>
      </x:c>
    </x:row>
    <x:row r="12" ht="62" customHeight="1">
      <x:c r="A12" s="158" t="str">
        <x:v>E063</x:v>
      </x:c>
      <x:c r="B12" s="158" t="str">
        <x:v>CUTIE STREET</x:v>
      </x:c>
      <x:c r="C12" s="158" t="str">
        <x:v>2025-10-31</x:v>
      </x:c>
      <x:c r="D12" s="158" t="str">
        <x:v>이번 수정 확인 자료</x:v>
      </x:c>
      <x:c r="E12" s="158" t="str">
        <x:v>10월 13일 Pia Arena MM 단독 공연 공식 실황 확인.</x:v>
      </x:c>
      <x:c r="F12" s="158" t="str">
        <x:v>https://www.youtube.com/watch?v=KnOdSw3E3t0</x:v>
      </x:c>
    </x:row>
    <x:row r="13" ht="62" customHeight="1">
      <x:c r="A13" s="158" t="str">
        <x:v>E064</x:v>
      </x:c>
      <x:c r="B13" s="158" t="str">
        <x:v>MORE STAR</x:v>
      </x:c>
      <x:c r="C13" s="158" t="str">
        <x:v>2025-12-12</x:v>
      </x:c>
      <x:c r="D13" s="158" t="str">
        <x:v>이번 수정 확인 자료</x:v>
      </x:c>
      <x:c r="E13" s="158" t="str">
        <x:v>KAWAII LAB 합동 무대 데뷔. 합동 공연 관객을 단독 동원으로 환산하지 않음.</x:v>
      </x:c>
      <x:c r="F13" s="158" t="str">
        <x:v>https://asobisystem.com/news/66334/</x:v>
      </x:c>
    </x:row>
    <x:row r="14" ht="62" customHeight="1">
      <x:c r="A14" s="158" t="str">
        <x:v>E065</x:v>
      </x:c>
      <x:c r="B14" s="158" t="str">
        <x:v>HANA</x:v>
      </x:c>
      <x:c r="C14" s="158" t="str">
        <x:v>2025-12-31</x:v>
      </x:c>
      <x:c r="D14" s="158" t="str">
        <x:v>이번 수정 확인 자료</x:v>
      </x:c>
      <x:c r="E14" s="158" t="str">
        <x:v>2025 Billboard Japan 연간 Hot100 ROSE 6위. 연말 확인치부터 적용.</x:v>
      </x:c>
      <x:c r="F14" s="158" t="str">
        <x:v>https://billboard-japan.com/common/special/award/25125_yec25/</x:v>
      </x:c>
    </x:row>
    <x:row r="15" ht="62" customHeight="1">
      <x:c r="A15" s="158" t="str">
        <x:v>E066</x:v>
      </x:c>
      <x:c r="B15" s="158" t="str">
        <x:v>FRUITS ZIPPER</x:v>
      </x:c>
      <x:c r="C15" s="158" t="str">
        <x:v>2026-02-03</x:v>
      </x:c>
      <x:c r="D15" s="158" t="str">
        <x:v>이번 수정 확인 자료</x:v>
      </x:c>
      <x:c r="E15" s="158" t="str">
        <x:v>2월 1일 첫 도쿄돔 단독 공연 약 5만 명.</x:v>
      </x:c>
      <x:c r="F15" s="158" t="str">
        <x:v>https://asobisystem.com/news/68911/</x:v>
      </x:c>
    </x:row>
    <x:row r="16" ht="62" customHeight="1">
      <x:c r="A16" s="158" t="str">
        <x:v>E067</x:v>
      </x:c>
      <x:c r="B16" s="158" t="str">
        <x:v>HANA</x:v>
      </x:c>
      <x:c r="C16" s="158" t="str">
        <x:v>2026-02-25</x:v>
      </x:c>
      <x:c r="D16" s="158" t="str">
        <x:v>이번 수정 확인 자료</x:v>
      </x:c>
      <x:c r="E16" s="158" t="str">
        <x:v>첫 정규앨범 HANA CD 발매.</x:v>
      </x:c>
      <x:c r="F16" s="158" t="str">
        <x:v>https://www.sonymusic.co.jp/artist/HANA/info/581367</x:v>
      </x:c>
    </x:row>
    <x:row r="17" ht="62" customHeight="1">
      <x:c r="A17" s="158" t="str">
        <x:v>E068</x:v>
      </x:c>
      <x:c r="B17" s="158" t="str">
        <x:v>HANA</x:v>
      </x:c>
      <x:c r="C17" s="158" t="str">
        <x:v>2026-03-07</x:v>
      </x:c>
      <x:c r="D17" s="158" t="str">
        <x:v>이번 수정 확인 자료</x:v>
      </x:c>
      <x:c r="E17" s="158" t="str">
        <x:v>첫 전국 홀투어 개막을 소속사 당일 보고로 확인.</x:v>
      </x:c>
      <x:c r="F17" s="158" t="str">
        <x:v>https://www.sonymusic.co.jp/artist/HANA/info/581655</x:v>
      </x:c>
    </x:row>
    <x:row r="18" ht="62" customHeight="1">
      <x:c r="A18" s="158" t="str">
        <x:v>E069</x:v>
      </x:c>
      <x:c r="B18" s="158" t="str">
        <x:v>=LOVE</x:v>
      </x:c>
      <x:c r="C18" s="158" t="str">
        <x:v>2026-04-20</x:v>
      </x:c>
      <x:c r="D18" s="158" t="str">
        <x:v>이번 수정 확인 자료</x:v>
      </x:c>
      <x:c r="E18" s="158" t="str">
        <x:v>요코하마 스타디움 이틀 약 7만 명.</x:v>
      </x:c>
      <x:c r="F18" s="158" t="str">
        <x:v>https://prtimes.jp/main/html/rd/p/000004839.000013546.html</x:v>
      </x:c>
    </x:row>
    <x:row r="19" ht="62" customHeight="1">
      <x:c r="A19" s="158" t="str">
        <x:v>E070</x:v>
      </x:c>
      <x:c r="B19" s="158" t="str">
        <x:v>櫻坂46</x:v>
      </x:c>
      <x:c r="C19" s="158" t="str">
        <x:v>2026-04-13</x:v>
      </x:c>
      <x:c r="D19" s="158" t="str">
        <x:v>이번 수정 확인 자료</x:v>
      </x:c>
      <x:c r="E19" s="158" t="str">
        <x:v>국립경기장 이틀 약 14만 명.</x:v>
      </x:c>
      <x:c r="F19" s="158" t="str">
        <x:v>https://www.oricon.co.jp/news/2448143/full/</x:v>
      </x:c>
    </x:row>
    <x:row r="20" ht="62" customHeight="1">
      <x:c r="A20" s="158" t="str">
        <x:v>E071</x:v>
      </x:c>
      <x:c r="B20" s="158" t="str">
        <x:v>CUTIE STREET</x:v>
      </x:c>
      <x:c r="C20" s="158" t="str">
        <x:v>2026-05-27</x:v>
      </x:c>
      <x:c r="D20" s="158" t="str">
        <x:v>이번 수정 확인 자료</x:v>
      </x:c>
      <x:c r="E20" s="158" t="str">
        <x:v>3rd 싱글 발매. 6월 공표 초주 판매와 구분.</x:v>
      </x:c>
      <x:c r="F20" s="158" t="str">
        <x:v>https://cutiestreet.asobisystem.com/news/detail/68625</x:v>
      </x:c>
    </x:row>
    <x:row r="21" ht="62" customHeight="1">
      <x:c r="A21" s="158" t="str">
        <x:v>E072</x:v>
      </x:c>
      <x:c r="B21" s="158" t="str">
        <x:v>=LOVE</x:v>
      </x:c>
      <x:c r="C21" s="158" t="str">
        <x:v>2026-06-21</x:v>
      </x:c>
      <x:c r="D21" s="158" t="str">
        <x:v>이번 수정 확인 자료</x:v>
      </x:c>
      <x:c r="E21" s="158" t="str">
        <x:v>국립경기장 13.2만 명·20th 싱글 출하 50만장·대표곡 1.7억 스트리밍.</x:v>
      </x:c>
      <x:c r="F21" s="158" t="str">
        <x:v>https://prtimes.jp/main/html/rd/p/000004904.000013546.html</x:v>
      </x:c>
    </x:row>
    <x:row r="22" ht="62" customHeight="1">
      <x:c r="A22" s="158" t="str">
        <x:v>E073</x:v>
      </x:c>
      <x:c r="B22" s="158" t="str">
        <x:v>CUTIE STREET</x:v>
      </x:c>
      <x:c r="C22" s="158" t="str">
        <x:v>2026-06-30</x:v>
      </x:c>
      <x:c r="D22" s="158" t="str">
        <x:v>이번 수정 확인 자료</x:v>
      </x:c>
      <x:c r="E22" s="158" t="str">
        <x:v>5월말 싱글 초주 50만장 돌파·오리콘/Billboard 순위와 6월 아레나 일정.</x:v>
      </x:c>
      <x:c r="F22" s="158" t="str">
        <x:v>https://cutiestreet.asobisystem.com/news/2/</x:v>
      </x:c>
    </x:row>
    <x:row r="23" ht="62" customHeight="1">
      <x:c r="A23" s="158" t="str">
        <x:v>E074</x:v>
      </x:c>
      <x:c r="B23" s="158" t="str">
        <x:v>=LOVE</x:v>
      </x:c>
      <x:c r="C23" s="158" t="str">
        <x:v>2026-08-26</x:v>
      </x:c>
      <x:c r="D23" s="158" t="str">
        <x:v>이번 수정 확인 자료</x:v>
      </x:c>
      <x:c r="E23" s="158" t="str">
        <x:v>21st 싱글 8월 26일 발매 일정 확인.</x:v>
      </x:c>
      <x:c r="F23" s="158" t="str">
        <x:v>https://equal-love.jp/news/detail/11603</x:v>
      </x:c>
    </x:row>
    <x:row r="24" ht="62" customHeight="1">
      <x:c r="A24" s="158" t="str">
        <x:v>초기조정</x:v>
      </x:c>
      <x:c r="B24" s="158" t="str">
        <x:v>CUTIE STREET</x:v>
      </x:c>
      <x:c r="C24" s="158" t="str">
        <x:v>최초 평가월</x:v>
      </x:c>
      <x:c r="D24" s="158" t="str">
        <x:v>초기 점수 판단 자료</x:v>
      </x:c>
      <x:c r="E24" s="158" t="str">
        <x:v>첫 단독 공연은 2025년 2월. 1월 공연 19/25의 아레나급 선반영을 제거.</x:v>
      </x:c>
      <x:c r="F24" s="158" t="str">
        <x:v>https://cutiestreet.asobisystem.com/news/detail/39326</x:v>
      </x:c>
    </x:row>
    <x:row r="25" ht="62" customHeight="1">
      <x:c r="A25" s="158" t="str">
        <x:v>초기조정</x:v>
      </x:c>
      <x:c r="B25" s="158" t="str">
        <x:v>HANA</x:v>
      </x:c>
      <x:c r="C25" s="158" t="str">
        <x:v>최초 평가월</x:v>
      </x:c>
      <x:c r="D25" s="158" t="str">
        <x:v>초기 점수 판단 자료</x:v>
      </x:c>
      <x:c r="E25" s="158" t="str">
        <x:v>데뷔 시점은 쇼케이스·중규모 홀 경험 구간. 2026년 전국투어와 이후 인지도·영향력을 선반영하지 않음.</x:v>
      </x:c>
      <x:c r="F25" s="158" t="str">
        <x:v>https://hana.b-rave.tokyo/live/250201/</x:v>
      </x:c>
    </x:row>
    <x:row r="26" ht="62" customHeight="1">
      <x:c r="A26" s="158" t="str">
        <x:v>초기조정</x:v>
      </x:c>
      <x:c r="B26" s="158" t="str">
        <x:v>MORE STAR</x:v>
      </x:c>
      <x:c r="C26" s="158" t="str">
        <x:v>최초 평가월</x:v>
      </x:c>
      <x:c r="D26" s="158" t="str">
        <x:v>초기 점수 판단 자료</x:v>
      </x:c>
      <x:c r="E26" s="158" t="str">
        <x:v>K아레나 합동 무대 데뷔를 단독 공연 9/25로 환산한 근거 부족. 합동·초기 공연 구간 4점.</x:v>
      </x:c>
      <x:c r="F26" s="158" t="str">
        <x:v>https://asobisystem.com/news/66334/</x:v>
      </x:c>
    </x:row>
    <x:row r="27" ht="62" customHeight="1">
      <x:c r="A27" s="158" t="str">
        <x:v>초기조정</x:v>
      </x:c>
      <x:c r="B27" s="158" t="str">
        <x:v>iLiFE!</x:v>
      </x:c>
      <x:c r="C27" s="158" t="str">
        <x:v>최초 평가월</x:v>
      </x:c>
      <x:c r="D27" s="158" t="str">
        <x:v>초기 점수 판단 자료</x:v>
      </x:c>
      <x:c r="E27" s="158" t="str">
        <x:v>2025년 8월 첫 무도관 공연 이전은 중규모 공연 구간 잠정치.</x:v>
      </x:c>
      <x:c r="F27" s="158" t="str">
        <x:v>https://prtimes.jp/main/html/rd/p/000001805.000064643.html</x:v>
      </x:c>
    </x:row>
    <x:row r="28" ht="62" customHeight="1">
      <x:c r="A28" s="158" t="str">
        <x:v>원본참고</x:v>
      </x:c>
      <x:c r="B28" s="158" t="str">
        <x:v>분류</x:v>
      </x:c>
      <x:c r="C28" s="158"/>
      <x:c r="D28" s="158" t="str">
        <x:v>전수 검증 안 됨</x:v>
      </x:c>
      <x:c r="E28" s="158" t="str">
        <x:v>출처 / URL</x:v>
      </x:c>
      <x:c r="F28" s="158" t="str">
        <x:v>활용</x:v>
      </x:c>
    </x:row>
    <x:row r="29" ht="62" customHeight="1">
      <x:c r="A29" s="158" t="str">
        <x:v>원본참고</x:v>
      </x:c>
      <x:c r="B29" s="158" t="str">
        <x:v>화제성</x:v>
      </x:c>
      <x:c r="C29" s="158"/>
      <x:c r="D29" s="158" t="str">
        <x:v>전수 검증 안 됨</x:v>
      </x:c>
      <x:c r="E29" s="158" t="str">
        <x:v>あの坂 女性アイドルグループ話題量ランキング / https://anosaka.com/female-idol-buzz-ranking-2026-09</x:v>
      </x:c>
      <x:c r="F29" s="158" t="str">
        <x:v>Google/YouTube/X/Wikipedia 기반 대중 관심 보조지표</x:v>
      </x:c>
    </x:row>
    <x:row r="30" ht="62" customHeight="1">
      <x:c r="A30" s="158" t="str">
        <x:v>원본참고</x:v>
      </x:c>
      <x:c r="B30" s="158" t="str">
        <x:v>판매/시장</x:v>
      </x:c>
      <x:c r="C30" s="158"/>
      <x:c r="D30" s="158" t="str">
        <x:v>전수 검증 안 됨</x:v>
      </x:c>
      <x:c r="E30" s="158" t="str">
        <x:v>ORICON NEWS / https://www.oricon.co.jp/news/2470610/full/</x:v>
      </x:c>
      <x:c r="F30" s="158" t="str">
        <x:v>KAWAII LAB. 판매·성장 및 주요 기록 확인</x:v>
      </x:c>
    </x:row>
    <x:row r="31" ht="62" customHeight="1">
      <x:c r="A31" s="158" t="str">
        <x:v>원본참고</x:v>
      </x:c>
      <x:c r="B31" s="158" t="str">
        <x:v>판매/시장</x:v>
      </x:c>
      <x:c r="C31" s="158"/>
      <x:c r="D31" s="158" t="str">
        <x:v>전수 검증 안 됨</x:v>
      </x:c>
      <x:c r="E31" s="158" t="str">
        <x:v>ORICON NEWS / https://www.oricon.co.jp/news/2468984/full/</x:v>
      </x:c>
      <x:c r="F31" s="158" t="str">
        <x:v>FRUITS ZIPPER 2026 싱글 판매 기록</x:v>
      </x:c>
    </x:row>
    <x:row r="32" ht="62" customHeight="1">
      <x:c r="A32" s="158" t="str">
        <x:v>원본참고</x:v>
      </x:c>
      <x:c r="B32" s="158" t="str">
        <x:v>페스티벌</x:v>
      </x:c>
      <x:c r="C32" s="158"/>
      <x:c r="D32" s="158" t="str">
        <x:v>전수 검증 안 됨</x:v>
      </x:c>
      <x:c r="E32" s="158" t="str">
        <x:v>TOKYO IDOL FESTIVAL 2026 / https://official.idolfes.com/s/tif2026/page/lineup</x:v>
      </x:c>
      <x:c r="F32" s="158" t="str">
        <x:v>라이브아이돌 현역 활동·라인업 확인</x:v>
      </x:c>
    </x:row>
    <x:row r="33" ht="62" customHeight="1">
      <x:c r="A33" s="158" t="str">
        <x:v>원본참고</x:v>
      </x:c>
      <x:c r="B33" s="158" t="str">
        <x:v>방법론</x:v>
      </x:c>
      <x:c r="C33" s="158"/>
      <x:c r="D33" s="158" t="str">
        <x:v>전수 검증 안 됨</x:v>
      </x:c>
      <x:c r="E33" s="158" t="str">
        <x:v>점수모델 / 내부 분석 기준</x:v>
      </x:c>
      <x:c r="F33" s="158" t="str">
        <x:v>공연25/팬덤20/인지도20/SNS15/기세10/업계10</x:v>
      </x:c>
    </x:row>
  </x:sheetData>
  <x:mergeCells>
    <x:mergeCell ref="A1:D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6" hidden="0" customWidth="1"/>
    <x:col min="2" max="2" width="118" hidden="0" customWidth="1"/>
  </x:cols>
  <x:sheetData>
    <x:row r="1">
      <x:c r="A1" s="150" t="str">
        <x:v>공통 평가 원칙과 검증 범위</x:v>
      </x:c>
      <x:c r="B1" s="150"/>
    </x:row>
    <x:row r="2">
      <x:c r="A2" s="150"/>
      <x:c r="B2" s="150"/>
    </x:row>
    <x:row r="3">
      <x:c r="A3" s="150"/>
      <x:c r="B3" s="150"/>
    </x:row>
    <x:row r="4" ht="32" customHeight="1">
      <x:c r="A4" s="190" t="str">
        <x:v>항목</x:v>
      </x:c>
      <x:c r="B4" s="190" t="str">
        <x:v>적용 규칙</x:v>
      </x:c>
    </x:row>
    <x:row r="5" ht="64" customHeight="1">
      <x:c r="A5" s="158" t="str">
        <x:v>평가 목적</x:v>
      </x:c>
      <x:c r="B5" s="158" t="str">
        <x:v>동일한 판단 원칙으로 항목을 평가하고 합산한다. 공식 순위나 통계 모델의 추정값이 아닌 분석자의 잠정 평가다.</x:v>
      </x:c>
    </x:row>
    <x:row r="6" ht="64" customHeight="1">
      <x:c r="A6" s="158" t="str">
        <x:v>기준일</x:v>
      </x:c>
      <x:c r="B6" s="158" t="str">
        <x:v>2025~2026년 각 월 말일까지 공개된 자료를 반영한다. 2026년 9월 파일은 9월 15일 기준이다.</x:v>
      </x:c>
    </x:row>
    <x:row r="7" ht="64" customHeight="1">
      <x:c r="A7" s="158" t="str">
        <x:v>시간 순서</x:v>
      </x:c>
      <x:c r="B7" s="158" t="str">
        <x:v>2025년 최초 평가월에서 앞으로 진행한다. 이후 성과를 과거에 배분하지 않는다. 사건일과 확인 가능한 공개일 중 늦은 날짜부터 적용한다.</x:v>
      </x:c>
    </x:row>
    <x:row r="8" ht="64" customHeight="1">
      <x:c r="A8" s="158" t="str">
        <x:v>초기 점수</x:v>
      </x:c>
      <x:c r="B8" s="158" t="str">
        <x:v>각 팀의 최초 평가월 원본 구조점수를 잠정 시작값으로 사용했다. 공연 이력 등과 충돌한 일부 항목은 별도 근거로 수정했다. 최초 점수 전체의 타당성이 검증된 것은 아니다.</x:v>
      </x:c>
    </x:row>
    <x:row r="9" ht="64" customHeight="1">
      <x:c r="A9" s="158" t="str">
        <x:v>구조점수 유지</x:v>
      </x:c>
      <x:c r="B9" s="158" t="str">
        <x:v>새 근거가 확인된 항목만 변경한다. 판매·공연·인지도를 같은 폭으로 일괄 증감하지 않는다. 자료가 없으면 승계하며, 승계는 실제 성과의 유지가 확인됐다는 뜻이 아니다.</x:v>
      </x:c>
    </x:row>
    <x:row r="10" ht="64" customHeight="1">
      <x:c r="A10" s="158" t="str">
        <x:v>기세 0~4</x:v>
      </x:c>
      <x:c r="B10" s="158" t="str">
        <x:v>확인된 해체·중단·활동 제약 또는 지연. 2=활동 중단, 4=복귀 협의 또는 활동 연기. 새로운 상태 확인 전까지 유지한다.</x:v>
      </x:c>
    </x:row>
    <x:row r="11" ht="64" customHeight="1">
      <x:c r="A11" s="158" t="str">
        <x:v>기세 5~7</x:v>
      </x:c>
      <x:c r="B11" s="158" t="str">
        <x:v>5=최근 가속도 자료가 부족한 경우의 중립 가정, 6=실제 발매·활동 재개, 7=기존 실적의 지속 또는 제한적 개선. 자료 부재에 따른 5점은 실측 안정세가 아니다.</x:v>
      </x:c>
    </x:row>
    <x:row r="12" ht="64" customHeight="1">
      <x:c r="A12" s="158" t="str">
        <x:v>기세 8~10</x:v>
      </x:c>
      <x:c r="B12" s="158" t="str">
        <x:v>8=한 영역의 뚜렷한 최고 실적·공연장 상승, 9=복수 성과의 뚜렷한 확대, 10=여러 영역에서 시장 최상위급 돌파. 단순 발매에 9~10점을 부여하지 않는다.</x:v>
      </x:c>
    </x:row>
    <x:row r="13" ht="64" customHeight="1">
      <x:c r="A13" s="158" t="str">
        <x:v>기세 유효기간</x:v>
      </x:c>
      <x:c r="B13" s="158" t="str">
        <x:v>상승 근거는 확인일로부터 30일 이내 원점수, 31~60일 1점 감산, 61~90일 2점 감산, 이후 5점으로 처리한다. 최저 5점. 이는 평가 가정이며 실적 하락의 관측치가 아니다. 여러 근거 중 높은 값을 적용한다.</x:v>
      </x:c>
    </x:row>
    <x:row r="14" ht="64" customHeight="1">
      <x:c r="A14" s="158" t="str">
        <x:v>국가 간 통일</x:v>
      </x:c>
      <x:c r="B14" s="158" t="str">
        <x:v>기세의 정의·유효기간·신뢰도·반영 시점을 통일했다. 한국과 일본의 시장 구조를 반영한 원본 가중치는 유지하므로 국가 간 총점은 직접 비교하지 않는다.</x:v>
      </x:c>
    </x:row>
    <x:row r="15" ht="64" customHeight="1">
      <x:c r="A15" s="158" t="str">
        <x:v>공연</x:v>
      </x:c>
      <x:c r="B15" s="158" t="str">
        <x:v>공연 완료·실제 관객·매진을 우선한다. 투어 발표와 완료를 구분하며 합동 공연 관객을 단독 동원으로 계산하지 않는다.</x:v>
      </x:c>
    </x:row>
    <x:row r="16" ht="64" customHeight="1">
      <x:c r="A16" s="158" t="str">
        <x:v>판매·온라인</x:v>
      </x:c>
      <x:c r="B16" s="158" t="str">
        <x:v>출하량·실판매·초동·일간 순위를 구분한다. 단일 일간 1위로 누적 구매력을 크게 올리지 않는다. SNS 관심과 음원·티켓 소비를 중복 확대하지 않는다.</x:v>
      </x:c>
    </x:row>
    <x:row r="17" ht="64" customHeight="1">
      <x:c r="A17" s="158" t="str">
        <x:v>신뢰도</x:v>
      </x:c>
      <x:c r="B17" s="158" t="str">
        <x:v>부분확인·잠정=일부 사건은 자료로 확인했지만 전체 점수는 잠정. 미검증 승계·잠정=새 검증 근거 없이 초기 구조점수 승계. 발매 확인만으로 전체 평가를 높은 신뢰도로 표시하지 않는다.</x:v>
      </x:c>
    </x:row>
    <x:row r="18" ht="64" customHeight="1">
      <x:c r="A18" s="158" t="str">
        <x:v>순위·등급</x:v>
      </x:c>
      <x:c r="B18" s="158" t="str">
        <x:v>항목 합계로 총점을 계산한다. 동점 공동순위, 다음 순위는 건너뛴다. 등급은 S+90, S80, A+70, A60, B+50, B40, C+30, C20, D+10, D0 이상이다.</x:v>
      </x:c>
    </x:row>
    <x:row r="19" ht="64" customHeight="1">
      <x:c r="A19" s="158" t="str">
        <x:v>연도 연결</x:v>
      </x:c>
      <x:c r="B19" s="158" t="str">
        <x:v>2026년 1월의 전월은 수정된 2025년 12월이다. 독립 파일 사용을 위해 전년말 기준표를 수록했다. 2025년 파일을 다시 편집하면 기준표도 갱신해야 한다.</x:v>
      </x:c>
    </x:row>
    <x:row r="20" ht="64" customHeight="1">
      <x:c r="A20" s="158" t="str">
        <x:v>검증 범위</x:v>
      </x:c>
      <x:c r="B20" s="158" t="str">
        <x:v>총점·등급·공동순위·전월 비교·시계열을 전수 검사한다. 212팀의 모든 월별 실적과 데뷔·활동 상태를 전수 사실 확인한 자료는 아니다.</x:v>
      </x:c>
    </x:row>
    <x:row r="21" ht="64" customHeight="1">
      <x:c r="A21" s="158" t="str">
        <x:v>표 사용</x:v>
      </x:c>
      <x:c r="B21" s="158" t="str">
        <x:v>점수를 수정하면 합계·등급·순위·요약이 계산된다. 행 배치는 저장 시 총점순이며, 입력 변경 후에는 월별 본표의 전체 행을 총점순으로 다시 정렬한다.</x:v>
      </x:c>
    </x:row>
    <x:row r="22" ht="64" customHeight="1">
      <x:c r="A22" s="158" t="str">
        <x:v>변경 이력</x:v>
      </x:c>
      <x:c r="B22" s="158" t="str">
        <x:v>재평가 근거에 각 팀·월의 원점수, 수정점수, 차이와 판단 이유를 기록했다. Sources에는 확인 자료와 원본 참고자료를 구분했다.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0" hidden="0" customWidth="1"/>
    <x:col min="2" max="2" width="26" hidden="0" customWidth="1"/>
    <x:col min="3" max="3" width="15" hidden="0" customWidth="1"/>
    <x:col min="4" max="4" width="15" hidden="0" customWidth="1"/>
    <x:col min="5" max="5" width="22" hidden="0" customWidth="1"/>
    <x:col min="6" max="6" width="84" hidden="0" customWidth="1"/>
    <x:col min="7" max="7" width="28" hidden="0" customWidth="1"/>
    <x:col min="8" max="8" width="12" hidden="0" customWidth="1"/>
    <x:col min="9" max="9" width="80" hidden="0" customWidth="1"/>
  </x:cols>
  <x:sheetData>
    <x:row r="1">
      <x:c r="A1" s="150" t="str">
        <x:v>확인 사건과 점수 반영</x:v>
      </x:c>
      <x:c r="B1" s="150"/>
      <x:c r="C1" s="150"/>
      <x:c r="D1" s="150"/>
      <x:c r="E1" s="150"/>
      <x:c r="F1" s="150"/>
      <x:c r="G1" s="150"/>
      <x:c r="H1" s="150"/>
      <x:c r="I1" s="150"/>
    </x:row>
    <x:row r="2">
      <x:c r="A2" s="150"/>
      <x:c r="B2" s="150"/>
      <x:c r="C2" s="150"/>
      <x:c r="D2" s="150"/>
      <x:c r="E2" s="150"/>
      <x:c r="F2" s="150"/>
      <x:c r="G2" s="150"/>
      <x:c r="H2" s="150"/>
      <x:c r="I2" s="150"/>
    </x:row>
    <x:row r="3">
      <x:c r="A3" s="150"/>
      <x:c r="B3" s="150"/>
      <x:c r="C3" s="150"/>
      <x:c r="D3" s="150"/>
      <x:c r="E3" s="150"/>
      <x:c r="F3" s="150"/>
      <x:c r="G3" s="150"/>
      <x:c r="H3" s="150"/>
      <x:c r="I3" s="150"/>
    </x:row>
    <x:row r="4" ht="32" customHeight="1">
      <x:c r="A4" s="190" t="str">
        <x:v>ID</x:v>
      </x:c>
      <x:c r="B4" s="190" t="str">
        <x:v>그룹</x:v>
      </x:c>
      <x:c r="C4" s="190" t="str">
        <x:v>사건일</x:v>
      </x:c>
      <x:c r="D4" s="190" t="str">
        <x:v>공개 확인일</x:v>
      </x:c>
      <x:c r="E4" s="190" t="str">
        <x:v>유형</x:v>
      </x:c>
      <x:c r="F4" s="190" t="str">
        <x:v>확인 내용</x:v>
      </x:c>
      <x:c r="G4" s="190" t="str">
        <x:v>변경 항목(항목번호:점수)</x:v>
      </x:c>
      <x:c r="H4" s="190" t="str">
        <x:v>최초 기세</x:v>
      </x:c>
      <x:c r="I4" s="190" t="str">
        <x:v>URL</x:v>
      </x:c>
    </x:row>
    <x:row r="5" ht="62" customHeight="1">
      <x:c r="A5" s="158" t="str">
        <x:v>E056</x:v>
      </x:c>
      <x:c r="B5" s="158" t="str">
        <x:v>CUTIE STREET</x:v>
      </x:c>
      <x:c r="C5" s="158" t="str">
        <x:v>2025-02-04</x:v>
      </x:c>
      <x:c r="D5" s="158" t="str">
        <x:v>2025-02-04</x:v>
      </x:c>
      <x:c r="E5" s="158" t="str">
        <x:v>공연 실적</x:v>
      </x:c>
      <x:c r="F5" s="158" t="str">
        <x:v>2월 2일 첫 단독 공연 Toyosu PIT 개최 확인.</x:v>
      </x:c>
      <x:c r="G5" s="158" t="str">
        <x:v>1:12</x:v>
      </x:c>
      <x:c r="H5" s="158" t="n">
        <x:v>8</x:v>
      </x:c>
      <x:c r="I5" s="158" t="str">
        <x:v>https://asobisystem.com/en/news/54130/</x:v>
      </x:c>
    </x:row>
    <x:row r="6" ht="62" customHeight="1">
      <x:c r="A6" s="158" t="str">
        <x:v>E057</x:v>
      </x:c>
      <x:c r="B6" s="158" t="str">
        <x:v>HANA</x:v>
      </x:c>
      <x:c r="C6" s="158" t="str">
        <x:v>2025-04-09</x:v>
      </x:c>
      <x:c r="D6" s="158" t="str">
        <x:v>2025-04-09</x:v>
      </x:c>
      <x:c r="E6" s="158" t="str">
        <x:v>성과 확인</x:v>
      </x:c>
      <x:c r="F6" s="158" t="str">
        <x:v>ROSE Billboard Japan Hot100 1위, 주간 스트리밍 약 878만 회.</x:v>
      </x:c>
      <x:c r="G6" s="158" t="str">
        <x:v>3:14, 4:13</x:v>
      </x:c>
      <x:c r="H6" s="158" t="n">
        <x:v>8</x:v>
      </x:c>
      <x:c r="I6" s="158" t="str">
        <x:v>https://www.billboard-japan.com/d_news/detail/148286/2</x:v>
      </x:c>
    </x:row>
    <x:row r="7" ht="62" customHeight="1">
      <x:c r="A7" s="158" t="str">
        <x:v>E058</x:v>
      </x:c>
      <x:c r="B7" s="158" t="str">
        <x:v>HANA</x:v>
      </x:c>
      <x:c r="C7" s="158" t="str">
        <x:v>2025-04-30</x:v>
      </x:c>
      <x:c r="D7" s="158" t="str">
        <x:v>2025-04-30</x:v>
      </x:c>
      <x:c r="E7" s="158" t="str">
        <x:v>성과 확인</x:v>
      </x:c>
      <x:c r="F7" s="158" t="str">
        <x:v>ROSE Hot100 재차 1위. CD 46,866장 집계.</x:v>
      </x:c>
      <x:c r="G7" s="158" t="str">
        <x:v>2:9</x:v>
      </x:c>
      <x:c r="H7" s="158" t="n">
        <x:v>9</x:v>
      </x:c>
      <x:c r="I7" s="158" t="str">
        <x:v>https://www.billboard-japan.com/d_news/detail/149019/</x:v>
      </x:c>
    </x:row>
    <x:row r="8" ht="62" customHeight="1">
      <x:c r="A8" s="158" t="str">
        <x:v>E059</x:v>
      </x:c>
      <x:c r="B8" s="158" t="str">
        <x:v>FRUITS ZIPPER</x:v>
      </x:c>
      <x:c r="C8" s="158" t="str">
        <x:v>2025-06-04</x:v>
      </x:c>
      <x:c r="D8" s="158" t="str">
        <x:v>2025-06-04</x:v>
      </x:c>
      <x:c r="E8" s="158" t="str">
        <x:v>공연 실적</x:v>
      </x:c>
      <x:c r="F8" s="158" t="str">
        <x:v>사이타마 슈퍼아레나 약 18,000명 공연 보고.</x:v>
      </x:c>
      <x:c r="G8" s="158" t="str">
        <x:v>1:21</x:v>
      </x:c>
      <x:c r="H8" s="158" t="n">
        <x:v>8</x:v>
      </x:c>
      <x:c r="I8" s="158" t="str">
        <x:v>https://asobisystem.com/news/58466/</x:v>
      </x:c>
    </x:row>
    <x:row r="9" ht="62" customHeight="1">
      <x:c r="A9" s="158" t="str">
        <x:v>E060</x:v>
      </x:c>
      <x:c r="B9" s="158" t="str">
        <x:v>FRUITS ZIPPER</x:v>
      </x:c>
      <x:c r="C9" s="158" t="str">
        <x:v>2025-08-04</x:v>
      </x:c>
      <x:c r="D9" s="158" t="str">
        <x:v>2025-08-04</x:v>
      </x:c>
      <x:c r="E9" s="158" t="str">
        <x:v>공연 실적</x:v>
      </x:c>
      <x:c r="F9" s="158" t="str">
        <x:v>사이타마 슈퍼아레나 2일 공연 약 5만 명.</x:v>
      </x:c>
      <x:c r="G9" s="158" t="str">
        <x:v>1:22</x:v>
      </x:c>
      <x:c r="H9" s="158" t="n">
        <x:v>8</x:v>
      </x:c>
      <x:c r="I9" s="158" t="str">
        <x:v>https://www.oricon.co.jp/news/2399205/full/</x:v>
      </x:c>
    </x:row>
    <x:row r="10" ht="62" customHeight="1">
      <x:c r="A10" s="158" t="str">
        <x:v>E061</x:v>
      </x:c>
      <x:c r="B10" s="158" t="str">
        <x:v>iLiFE!</x:v>
      </x:c>
      <x:c r="C10" s="158" t="str">
        <x:v>2025-08-27</x:v>
      </x:c>
      <x:c r="D10" s="158" t="str">
        <x:v>2025-08-27</x:v>
      </x:c>
      <x:c r="E10" s="158" t="str">
        <x:v>공연 실적</x:v>
      </x:c>
      <x:c r="F10" s="158" t="str">
        <x:v>첫 일본무도관 단독 공연·티켓 매진 보도.</x:v>
      </x:c>
      <x:c r="G10" s="158" t="str">
        <x:v>1:18</x:v>
      </x:c>
      <x:c r="H10" s="158" t="n">
        <x:v>8</x:v>
      </x:c>
      <x:c r="I10" s="158" t="str">
        <x:v>https://prtimes.jp/main/html/rd/p/000001805.000064643.html</x:v>
      </x:c>
    </x:row>
    <x:row r="11" ht="62" customHeight="1">
      <x:c r="A11" s="158" t="str">
        <x:v>E062</x:v>
      </x:c>
      <x:c r="B11" s="158" t="str">
        <x:v>CUTIE STREET</x:v>
      </x:c>
      <x:c r="C11" s="158" t="str">
        <x:v>2025-10-31</x:v>
      </x:c>
      <x:c r="D11" s="158" t="str">
        <x:v>2025-10-31</x:v>
      </x:c>
      <x:c r="E11" s="158" t="str">
        <x:v>성과 확인</x:v>
      </x:c>
      <x:c r="F11" s="158" t="str">
        <x:v>대표곡 누적 스트리밍 2억 돌파.</x:v>
      </x:c>
      <x:c r="G11" s="158" t="str">
        <x:v>4:14</x:v>
      </x:c>
      <x:c r="H11" s="158" t="n">
        <x:v>8</x:v>
      </x:c>
      <x:c r="I11" s="158" t="str">
        <x:v>https://www.oricon.co.jp/news/2413829/full/</x:v>
      </x:c>
    </x:row>
    <x:row r="12" ht="62" customHeight="1">
      <x:c r="A12" s="158" t="str">
        <x:v>E063</x:v>
      </x:c>
      <x:c r="B12" s="158" t="str">
        <x:v>CUTIE STREET</x:v>
      </x:c>
      <x:c r="C12" s="158" t="str">
        <x:v>2025-10-31</x:v>
      </x:c>
      <x:c r="D12" s="158" t="str">
        <x:v>2025-10-31</x:v>
      </x:c>
      <x:c r="E12" s="158" t="str">
        <x:v>공연 실적</x:v>
      </x:c>
      <x:c r="F12" s="158" t="str">
        <x:v>10월 13일 Pia Arena MM 단독 공연 공식 실황 확인.</x:v>
      </x:c>
      <x:c r="G12" s="158" t="str">
        <x:v>1:18</x:v>
      </x:c>
      <x:c r="H12" s="158" t="n">
        <x:v>8</x:v>
      </x:c>
      <x:c r="I12" s="158" t="str">
        <x:v>https://www.youtube.com/watch?v=KnOdSw3E3t0</x:v>
      </x:c>
    </x:row>
    <x:row r="13" ht="62" customHeight="1">
      <x:c r="A13" s="158" t="str">
        <x:v>E064</x:v>
      </x:c>
      <x:c r="B13" s="158" t="str">
        <x:v>MORE STAR</x:v>
      </x:c>
      <x:c r="C13" s="158" t="str">
        <x:v>2025-12-12</x:v>
      </x:c>
      <x:c r="D13" s="158" t="str">
        <x:v>2025-12-12</x:v>
      </x:c>
      <x:c r="E13" s="158" t="str">
        <x:v>데뷔 확인</x:v>
      </x:c>
      <x:c r="F13" s="158" t="str">
        <x:v>KAWAII LAB 합동 무대 데뷔. 합동 공연 관객을 단독 동원으로 환산하지 않음.</x:v>
      </x:c>
      <x:c r="G13" s="158" t="str">
        <x:v>구조점수 변경 없음</x:v>
      </x:c>
      <x:c r="H13" s="158" t="n">
        <x:v>6</x:v>
      </x:c>
      <x:c r="I13" s="158" t="str">
        <x:v>https://asobisystem.com/news/66334/</x:v>
      </x:c>
    </x:row>
    <x:row r="14" ht="62" customHeight="1">
      <x:c r="A14" s="158" t="str">
        <x:v>E065</x:v>
      </x:c>
      <x:c r="B14" s="158" t="str">
        <x:v>HANA</x:v>
      </x:c>
      <x:c r="C14" s="158" t="str">
        <x:v>2025-12-31</x:v>
      </x:c>
      <x:c r="D14" s="158" t="str">
        <x:v>2025-12-31</x:v>
      </x:c>
      <x:c r="E14" s="158" t="str">
        <x:v>성과 확인</x:v>
      </x:c>
      <x:c r="F14" s="158" t="str">
        <x:v>2025 Billboard Japan 연간 Hot100 ROSE 6위. 연말 확인치부터 적용.</x:v>
      </x:c>
      <x:c r="G14" s="158" t="str">
        <x:v>3:17, 4:14</x:v>
      </x:c>
      <x:c r="H14" s="158" t="n">
        <x:v>8</x:v>
      </x:c>
      <x:c r="I14" s="158" t="str">
        <x:v>https://billboard-japan.com/common/special/award/25125_yec25/</x:v>
      </x:c>
    </x:row>
    <x:row r="15" ht="62" customHeight="1">
      <x:c r="A15" s="158" t="str">
        <x:v>E066</x:v>
      </x:c>
      <x:c r="B15" s="158" t="str">
        <x:v>FRUITS ZIPPER</x:v>
      </x:c>
      <x:c r="C15" s="158" t="str">
        <x:v>2026-02-03</x:v>
      </x:c>
      <x:c r="D15" s="158" t="str">
        <x:v>2026-02-03</x:v>
      </x:c>
      <x:c r="E15" s="158" t="str">
        <x:v>공연 실적</x:v>
      </x:c>
      <x:c r="F15" s="158" t="str">
        <x:v>2월 1일 첫 도쿄돔 단독 공연 약 5만 명.</x:v>
      </x:c>
      <x:c r="G15" s="158" t="str">
        <x:v>1:24</x:v>
      </x:c>
      <x:c r="H15" s="158" t="n">
        <x:v>8</x:v>
      </x:c>
      <x:c r="I15" s="158" t="str">
        <x:v>https://asobisystem.com/news/68911/</x:v>
      </x:c>
    </x:row>
    <x:row r="16" ht="62" customHeight="1">
      <x:c r="A16" s="158" t="str">
        <x:v>E067</x:v>
      </x:c>
      <x:c r="B16" s="158" t="str">
        <x:v>HANA</x:v>
      </x:c>
      <x:c r="C16" s="158" t="str">
        <x:v>2026-02-25</x:v>
      </x:c>
      <x:c r="D16" s="158" t="str">
        <x:v>2026-02-25</x:v>
      </x:c>
      <x:c r="E16" s="158" t="str">
        <x:v>발매 확인</x:v>
      </x:c>
      <x:c r="F16" s="158" t="str">
        <x:v>첫 정규앨범 HANA CD 발매.</x:v>
      </x:c>
      <x:c r="G16" s="158" t="str">
        <x:v>구조점수 변경 없음</x:v>
      </x:c>
      <x:c r="H16" s="158" t="n">
        <x:v>6</x:v>
      </x:c>
      <x:c r="I16" s="158" t="str">
        <x:v>https://www.sonymusic.co.jp/artist/HANA/info/581367</x:v>
      </x:c>
    </x:row>
    <x:row r="17" ht="62" customHeight="1">
      <x:c r="A17" s="158" t="str">
        <x:v>E068</x:v>
      </x:c>
      <x:c r="B17" s="158" t="str">
        <x:v>HANA</x:v>
      </x:c>
      <x:c r="C17" s="158" t="str">
        <x:v>2026-03-07</x:v>
      </x:c>
      <x:c r="D17" s="158" t="str">
        <x:v>2026-03-07</x:v>
      </x:c>
      <x:c r="E17" s="158" t="str">
        <x:v>공연 실적</x:v>
      </x:c>
      <x:c r="F17" s="158" t="str">
        <x:v>첫 전국 홀투어 개막을 소속사 당일 보고로 확인.</x:v>
      </x:c>
      <x:c r="G17" s="158" t="str">
        <x:v>1:15</x:v>
      </x:c>
      <x:c r="H17" s="158" t="n">
        <x:v>8</x:v>
      </x:c>
      <x:c r="I17" s="158" t="str">
        <x:v>https://www.sonymusic.co.jp/artist/HANA/info/581655</x:v>
      </x:c>
    </x:row>
    <x:row r="18" ht="62" customHeight="1">
      <x:c r="A18" s="158" t="str">
        <x:v>E069</x:v>
      </x:c>
      <x:c r="B18" s="158" t="str">
        <x:v>=LOVE</x:v>
      </x:c>
      <x:c r="C18" s="158" t="str">
        <x:v>2026-04-20</x:v>
      </x:c>
      <x:c r="D18" s="158" t="str">
        <x:v>2026-04-20</x:v>
      </x:c>
      <x:c r="E18" s="158" t="str">
        <x:v>공연 실적</x:v>
      </x:c>
      <x:c r="F18" s="158" t="str">
        <x:v>요코하마 스타디움 이틀 약 7만 명.</x:v>
      </x:c>
      <x:c r="G18" s="158" t="str">
        <x:v>1:24</x:v>
      </x:c>
      <x:c r="H18" s="158" t="n">
        <x:v>8</x:v>
      </x:c>
      <x:c r="I18" s="158" t="str">
        <x:v>https://prtimes.jp/main/html/rd/p/000004839.000013546.html</x:v>
      </x:c>
    </x:row>
    <x:row r="19" ht="62" customHeight="1">
      <x:c r="A19" s="158" t="str">
        <x:v>E070</x:v>
      </x:c>
      <x:c r="B19" s="158" t="str">
        <x:v>櫻坂46</x:v>
      </x:c>
      <x:c r="C19" s="158" t="str">
        <x:v>2026-04-13</x:v>
      </x:c>
      <x:c r="D19" s="158" t="str">
        <x:v>2026-04-13</x:v>
      </x:c>
      <x:c r="E19" s="158" t="str">
        <x:v>공연 실적</x:v>
      </x:c>
      <x:c r="F19" s="158" t="str">
        <x:v>국립경기장 이틀 약 14만 명.</x:v>
      </x:c>
      <x:c r="G19" s="158" t="str">
        <x:v>1:25</x:v>
      </x:c>
      <x:c r="H19" s="158" t="n">
        <x:v>8</x:v>
      </x:c>
      <x:c r="I19" s="158" t="str">
        <x:v>https://www.oricon.co.jp/news/2448143/full/</x:v>
      </x:c>
    </x:row>
    <x:row r="20" ht="62" customHeight="1">
      <x:c r="A20" s="158" t="str">
        <x:v>E071</x:v>
      </x:c>
      <x:c r="B20" s="158" t="str">
        <x:v>CUTIE STREET</x:v>
      </x:c>
      <x:c r="C20" s="158" t="str">
        <x:v>2026-05-27</x:v>
      </x:c>
      <x:c r="D20" s="158" t="str">
        <x:v>2026-05-27</x:v>
      </x:c>
      <x:c r="E20" s="158" t="str">
        <x:v>발매 확인</x:v>
      </x:c>
      <x:c r="F20" s="158" t="str">
        <x:v>3rd 싱글 발매. 6월 공표 초주 판매와 구분.</x:v>
      </x:c>
      <x:c r="G20" s="158" t="str">
        <x:v>구조점수 변경 없음</x:v>
      </x:c>
      <x:c r="H20" s="158" t="n">
        <x:v>6</x:v>
      </x:c>
      <x:c r="I20" s="158" t="str">
        <x:v>https://cutiestreet.asobisystem.com/news/detail/68625</x:v>
      </x:c>
    </x:row>
    <x:row r="21" ht="62" customHeight="1">
      <x:c r="A21" s="158" t="str">
        <x:v>E072</x:v>
      </x:c>
      <x:c r="B21" s="158" t="str">
        <x:v>=LOVE</x:v>
      </x:c>
      <x:c r="C21" s="158" t="str">
        <x:v>2026-06-21</x:v>
      </x:c>
      <x:c r="D21" s="158" t="str">
        <x:v>2026-06-21</x:v>
      </x:c>
      <x:c r="E21" s="158" t="str">
        <x:v>복수 성과 확인</x:v>
      </x:c>
      <x:c r="F21" s="158" t="str">
        <x:v>국립경기장 13.2만 명·20th 싱글 출하 50만장·대표곡 1.7억 스트리밍.</x:v>
      </x:c>
      <x:c r="G21" s="158" t="str">
        <x:v>1:25, 2:18, 3:17, 4:14, 6:8</x:v>
      </x:c>
      <x:c r="H21" s="158" t="n">
        <x:v>9</x:v>
      </x:c>
      <x:c r="I21" s="158" t="str">
        <x:v>https://prtimes.jp/main/html/rd/p/000004904.000013546.html</x:v>
      </x:c>
    </x:row>
    <x:row r="22" ht="62" customHeight="1">
      <x:c r="A22" s="158" t="str">
        <x:v>E073</x:v>
      </x:c>
      <x:c r="B22" s="158" t="str">
        <x:v>CUTIE STREET</x:v>
      </x:c>
      <x:c r="C22" s="158" t="str">
        <x:v>2026-06-30</x:v>
      </x:c>
      <x:c r="D22" s="158" t="str">
        <x:v>2026-06-30</x:v>
      </x:c>
      <x:c r="E22" s="158" t="str">
        <x:v>성과 확인</x:v>
      </x:c>
      <x:c r="F22" s="158" t="str">
        <x:v>5월말 싱글 초주 50만장 돌파·오리콘/Billboard 순위와 6월 아레나 일정.</x:v>
      </x:c>
      <x:c r="G22" s="158" t="str">
        <x:v>2:17</x:v>
      </x:c>
      <x:c r="H22" s="158" t="n">
        <x:v>8</x:v>
      </x:c>
      <x:c r="I22" s="158" t="str">
        <x:v>https://cutiestreet.asobisystem.com/news/2/</x:v>
      </x:c>
    </x:row>
    <x:row r="23" ht="62" customHeight="1">
      <x:c r="A23" s="158" t="str">
        <x:v>E074</x:v>
      </x:c>
      <x:c r="B23" s="158" t="str">
        <x:v>=LOVE</x:v>
      </x:c>
      <x:c r="C23" s="158" t="str">
        <x:v>2026-08-26</x:v>
      </x:c>
      <x:c r="D23" s="158" t="str">
        <x:v>2026-08-26</x:v>
      </x:c>
      <x:c r="E23" s="158" t="str">
        <x:v>발매 확인</x:v>
      </x:c>
      <x:c r="F23" s="158" t="str">
        <x:v>21st 싱글 8월 26일 발매 일정 확인.</x:v>
      </x:c>
      <x:c r="G23" s="158" t="str">
        <x:v>구조점수 변경 없음</x:v>
      </x:c>
      <x:c r="H23" s="158" t="n">
        <x:v>6</x:v>
      </x:c>
      <x:c r="I23" s="158" t="str">
        <x:v>https://equal-love.jp/news/detail/11603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5" hidden="0" customWidth="1"/>
    <x:col min="2" max="2" width="30" hidden="0" customWidth="1"/>
    <x:col min="3" max="3" width="12" hidden="0" customWidth="1"/>
    <x:col min="4" max="4" width="12" hidden="0" customWidth="1"/>
    <x:col min="5" max="5" width="12" hidden="0" customWidth="1"/>
    <x:col min="6" max="6" width="33" hidden="0" customWidth="1"/>
    <x:col min="7" max="7" width="33" hidden="0" customWidth="1"/>
    <x:col min="8" max="8" width="25" hidden="0" customWidth="1"/>
    <x:col min="9" max="9" width="108" hidden="0" customWidth="1"/>
    <x:col min="10" max="10" width="32" hidden="0" customWidth="1"/>
    <x:col min="11" max="11" width="17" hidden="0" customWidth="1"/>
  </x:cols>
  <x:sheetData>
    <x:row r="1">
      <x:c r="A1" s="150" t="str">
        <x:v>각 팀·월의 변경 전후와 판단 근거</x:v>
      </x:c>
      <x:c r="B1" s="150"/>
      <x:c r="C1" s="150"/>
      <x:c r="D1" s="150"/>
      <x:c r="E1" s="150"/>
      <x:c r="F1" s="150"/>
      <x:c r="G1" s="150"/>
      <x:c r="H1" s="150"/>
      <x:c r="I1" s="150"/>
      <x:c r="J1" s="150"/>
      <x:c r="K1" s="150"/>
    </x:row>
    <x:row r="2">
      <x:c r="A2" s="150"/>
      <x:c r="B2" s="150"/>
      <x:c r="C2" s="150"/>
      <x:c r="D2" s="150"/>
      <x:c r="E2" s="150"/>
      <x:c r="F2" s="150"/>
      <x:c r="G2" s="150"/>
      <x:c r="H2" s="150"/>
      <x:c r="I2" s="150"/>
      <x:c r="J2" s="150"/>
      <x:c r="K2" s="150"/>
    </x:row>
    <x:row r="3">
      <x:c r="A3" s="150"/>
      <x:c r="B3" s="150"/>
      <x:c r="C3" s="150"/>
      <x:c r="D3" s="150"/>
      <x:c r="E3" s="150"/>
      <x:c r="F3" s="150"/>
      <x:c r="G3" s="150"/>
      <x:c r="H3" s="150"/>
      <x:c r="I3" s="150"/>
      <x:c r="J3" s="150"/>
      <x:c r="K3" s="150"/>
    </x:row>
    <x:row r="4" ht="32" customHeight="1">
      <x:c r="A4" s="190" t="str">
        <x:v>기준월</x:v>
      </x:c>
      <x:c r="B4" s="190" t="str">
        <x:v>그룹</x:v>
      </x:c>
      <x:c r="C4" s="190" t="str">
        <x:v>원총점</x:v>
      </x:c>
      <x:c r="D4" s="190" t="str">
        <x:v>수정총점</x:v>
      </x:c>
      <x:c r="E4" s="190" t="str">
        <x:v>차이</x:v>
      </x:c>
      <x:c r="F4" s="190" t="str">
        <x:v>원점수(본표 항목 순서)</x:v>
      </x:c>
      <x:c r="G4" s="190" t="str">
        <x:v>수정점수(본표 항목 순서)</x:v>
      </x:c>
      <x:c r="H4" s="190" t="str">
        <x:v>검증 상태</x:v>
      </x:c>
      <x:c r="I4" s="190" t="str">
        <x:v>판단 이유</x:v>
      </x:c>
      <x:c r="J4" s="190" t="str">
        <x:v>확인 근거 ID</x:v>
      </x:c>
      <x:c r="K4" s="190" t="str">
        <x:v>초기값 기준월</x:v>
      </x:c>
    </x:row>
    <x:row r="5" ht="94" customHeight="1">
      <x:c r="A5" s="158" t="str">
        <x:v>2026-09</x:v>
      </x:c>
      <x:c r="B5" s="158" t="str">
        <x:v>=LOVE</x:v>
      </x:c>
      <x:c r="C5" s="158" t="n">
        <x:v>97</x:v>
      </x:c>
      <x:c r="D5" s="158" t="n">
        <x:f>IF('전체 점수표'!I5="","",'전체 점수표'!I5)</x:f>
        <x:v>89</x:v>
      </x:c>
      <x:c r="E5" s="158" t="n">
        <x:f>IF(D5="","",D5-C5)</x:f>
        <x:v>-8</x:v>
      </x:c>
      <x:c r="F5" s="158" t="str">
        <x:v>25 / 20 / 18 / 15 / 10 / 9</x:v>
      </x:c>
      <x:c r="G5" s="158" t="str">
        <x:v>25 / 18 / 17 / 14 / 7 / 8</x:v>
      </x:c>
      <x:c r="H5" s="158" t="str">
        <x:v>부분확인·잠정</x:v>
      </x:c>
      <x:c r="I5" s="158" t="str">
        <x:v>구조점수 승계: 확인된 새 근거 없이 항목별 점수를 증감하지 않음. E072 관측치, 30/60/90일 유효기간 적용</x:v>
      </x:c>
      <x:c r="J5" s="158" t="str">
        <x:v>E069, E072, E074</x:v>
      </x:c>
      <x:c r="K5" s="158" t="str">
        <x:v>2025-01</x:v>
      </x:c>
    </x:row>
    <x:row r="6" ht="94" customHeight="1">
      <x:c r="A6" s="158" t="str">
        <x:v>2026-09</x:v>
      </x:c>
      <x:c r="B6" s="158" t="str">
        <x:v>乃木坂46</x:v>
      </x:c>
      <x:c r="C6" s="158" t="n">
        <x:v>95</x:v>
      </x:c>
      <x:c r="D6" s="158" t="n">
        <x:f>IF('전체 점수표'!I6="","",'전체 점수표'!I6)</x:f>
        <x:v>87</x:v>
      </x:c>
      <x:c r="E6" s="158" t="n">
        <x:f>IF(D6="","",D6-C6)</x:f>
        <x:v>-8</x:v>
      </x:c>
      <x:c r="F6" s="158" t="str">
        <x:v>24 / 20 / 20 / 13 / 8 / 10</x:v>
      </x:c>
      <x:c r="G6" s="158" t="str">
        <x:v>23 / 19 / 19 / 12 / 5 / 9</x:v>
      </x:c>
      <x:c r="H6" s="158" t="str">
        <x:v>미검증 승계·잠정</x:v>
      </x:c>
      <x:c r="I6" s="158" t="str">
        <x:v>구조점수 승계: 확인된 새 근거 없이 항목별 점수를 증감하지 않음. 최근 90일 검증된 가속도 근거 부족: 중립 가정 5점(실측 아님)</x:v>
      </x:c>
      <x:c r="J6" s="158" t="str"/>
      <x:c r="K6" s="158" t="str">
        <x:v>2025-01</x:v>
      </x:c>
    </x:row>
    <x:row r="7" ht="94" customHeight="1">
      <x:c r="A7" s="158" t="str">
        <x:v>2026-09</x:v>
      </x:c>
      <x:c r="B7" s="158" t="str">
        <x:v>FRUITS ZIPPER</x:v>
      </x:c>
      <x:c r="C7" s="158" t="n">
        <x:v>94</x:v>
      </x:c>
      <x:c r="D7" s="158" t="n">
        <x:f>IF('전체 점수표'!I7="","",'전체 점수표'!I7)</x:f>
        <x:v>81</x:v>
      </x:c>
      <x:c r="E7" s="158" t="n">
        <x:f>IF(D7="","",D7-C7)</x:f>
        <x:v>-13</x:v>
      </x:c>
      <x:c r="F7" s="158" t="str">
        <x:v>24 / 20 / 18 / 14 / 10 / 8</x:v>
      </x:c>
      <x:c r="G7" s="158" t="str">
        <x:v>24 / 18 / 16 / 12 / 5 / 6</x:v>
      </x:c>
      <x:c r="H7" s="158" t="str">
        <x:v>부분확인·잠정</x:v>
      </x:c>
      <x:c r="I7" s="158" t="str">
        <x:v>구조점수 승계: 확인된 새 근거 없이 항목별 점수를 증감하지 않음. 최근 90일 검증된 가속도 근거 부족: 중립 가정 5점(실측 아님)</x:v>
      </x:c>
      <x:c r="J7" s="158" t="str">
        <x:v>E059, E060, E066</x:v>
      </x:c>
      <x:c r="K7" s="158" t="str">
        <x:v>2025-01</x:v>
      </x:c>
    </x:row>
    <x:row r="8" ht="94" customHeight="1">
      <x:c r="A8" s="158" t="str">
        <x:v>2026-09</x:v>
      </x:c>
      <x:c r="B8" s="158" t="str">
        <x:v>櫻坂46</x:v>
      </x:c>
      <x:c r="C8" s="158" t="n">
        <x:v>84</x:v>
      </x:c>
      <x:c r="D8" s="158" t="n">
        <x:f>IF('전체 점수표'!I8="","",'전체 점수표'!I8)</x:f>
        <x:v>81</x:v>
      </x:c>
      <x:c r="E8" s="158" t="n">
        <x:f>IF(D8="","",D8-C8)</x:f>
        <x:v>-3</x:v>
      </x:c>
      <x:c r="F8" s="158" t="str">
        <x:v>22 / 19 / 17 / 11 / 7 / 8</x:v>
      </x:c>
      <x:c r="G8" s="158" t="str">
        <x:v>25 / 18 / 16 / 10 / 5 / 7</x:v>
      </x:c>
      <x:c r="H8" s="158" t="str">
        <x:v>부분확인·잠정</x:v>
      </x:c>
      <x:c r="I8" s="158" t="str">
        <x:v>구조점수 승계: 확인된 새 근거 없이 항목별 점수를 증감하지 않음. 최근 90일 검증된 가속도 근거 부족: 중립 가정 5점(실측 아님)</x:v>
      </x:c>
      <x:c r="J8" s="158" t="str">
        <x:v>E070</x:v>
      </x:c>
      <x:c r="K8" s="158" t="str">
        <x:v>2025-01</x:v>
      </x:c>
    </x:row>
    <x:row r="9" ht="94" customHeight="1">
      <x:c r="A9" s="158" t="str">
        <x:v>2026-09</x:v>
      </x:c>
      <x:c r="B9" s="158" t="str">
        <x:v>NiziU</x:v>
      </x:c>
      <x:c r="C9" s="158" t="n">
        <x:v>87</x:v>
      </x:c>
      <x:c r="D9" s="158" t="n">
        <x:f>IF('전체 점수표'!I9="","",'전체 점수표'!I9)</x:f>
        <x:v>79</x:v>
      </x:c>
      <x:c r="E9" s="158" t="n">
        <x:f>IF(D9="","",D9-C9)</x:f>
        <x:v>-8</x:v>
      </x:c>
      <x:c r="F9" s="158" t="str">
        <x:v>24 / 17 / 17 / 13 / 7 / 9</x:v>
      </x:c>
      <x:c r="G9" s="158" t="str">
        <x:v>23 / 16 / 16 / 12 / 5 / 7</x:v>
      </x:c>
      <x:c r="H9" s="158" t="str">
        <x:v>미검증 승계·잠정</x:v>
      </x:c>
      <x:c r="I9" s="158" t="str">
        <x:v>구조점수 승계: 확인된 새 근거 없이 항목별 점수를 증감하지 않음. 최근 90일 검증된 가속도 근거 부족: 중립 가정 5점(실측 아님)</x:v>
      </x:c>
      <x:c r="J9" s="158" t="str"/>
      <x:c r="K9" s="158" t="str">
        <x:v>2025-01</x:v>
      </x:c>
    </x:row>
    <x:row r="10" ht="94" customHeight="1">
      <x:c r="A10" s="158" t="str">
        <x:v>2026-09</x:v>
      </x:c>
      <x:c r="B10" s="158" t="str">
        <x:v>CUTIE STREET</x:v>
      </x:c>
      <x:c r="C10" s="158" t="n">
        <x:v>84</x:v>
      </x:c>
      <x:c r="D10" s="158" t="n">
        <x:f>IF('전체 점수표'!I10="","",'전체 점수표'!I10)</x:f>
        <x:v>76</x:v>
      </x:c>
      <x:c r="E10" s="158" t="n">
        <x:f>IF(D10="","",D10-C10)</x:f>
        <x:v>-8</x:v>
      </x:c>
      <x:c r="F10" s="158" t="str">
        <x:v>20 / 17 / 16 / 14 / 10 / 7</x:v>
      </x:c>
      <x:c r="G10" s="158" t="str">
        <x:v>18 / 17 / 15 / 14 / 6 / 6</x:v>
      </x:c>
      <x:c r="H10" s="158" t="str">
        <x:v>부분확인·잠정</x:v>
      </x:c>
      <x:c r="I10" s="158" t="str">
        <x:v>구조점수 승계: 확인된 새 근거 없이 항목별 점수를 증감하지 않음. E073 관측치, 30/60/90일 유효기간 적용</x:v>
      </x:c>
      <x:c r="J10" s="158" t="str">
        <x:v>E056, E062, E063, E071, E073</x:v>
      </x:c>
      <x:c r="K10" s="158" t="str">
        <x:v>2025-01</x:v>
      </x:c>
    </x:row>
    <x:row r="11" ht="94" customHeight="1">
      <x:c r="A11" s="158" t="str">
        <x:v>2026-09</x:v>
      </x:c>
      <x:c r="B11" s="158" t="str">
        <x:v>AKB48</x:v>
      </x:c>
      <x:c r="C11" s="158" t="n">
        <x:v>80</x:v>
      </x:c>
      <x:c r="D11" s="158" t="n">
        <x:f>IF('전체 점수표'!I11="","",'전체 점수표'!I11)</x:f>
        <x:v>74</x:v>
      </x:c>
      <x:c r="E11" s="158" t="n">
        <x:f>IF(D11="","",D11-C11)</x:f>
        <x:v>-6</x:v>
      </x:c>
      <x:c r="F11" s="158" t="str">
        <x:v>18 / 18 / 20 / 9 / 6 / 9</x:v>
      </x:c>
      <x:c r="G11" s="158" t="str">
        <x:v>17 / 17 / 19 / 8 / 5 / 8</x:v>
      </x:c>
      <x:c r="H11" s="158" t="str">
        <x:v>미검증 승계·잠정</x:v>
      </x:c>
      <x:c r="I11" s="158" t="str">
        <x:v>구조점수 승계: 확인된 새 근거 없이 항목별 점수를 증감하지 않음. 최근 90일 검증된 가속도 근거 부족: 중립 가정 5점(실측 아님)</x:v>
      </x:c>
      <x:c r="J11" s="158" t="str"/>
      <x:c r="K11" s="158" t="str">
        <x:v>2025-01</x:v>
      </x:c>
    </x:row>
    <x:row r="12" ht="94" customHeight="1">
      <x:c r="A12" s="158" t="str">
        <x:v>2026-09</x:v>
      </x:c>
      <x:c r="B12" s="158" t="str">
        <x:v>日向坂46</x:v>
      </x:c>
      <x:c r="C12" s="158" t="n">
        <x:v>81</x:v>
      </x:c>
      <x:c r="D12" s="158" t="n">
        <x:f>IF('전체 점수표'!I12="","",'전체 점수표'!I12)</x:f>
        <x:v>74</x:v>
      </x:c>
      <x:c r="E12" s="158" t="n">
        <x:f>IF(D12="","",D12-C12)</x:f>
        <x:v>-7</x:v>
      </x:c>
      <x:c r="F12" s="158" t="str">
        <x:v>21 / 18 / 17 / 10 / 7 / 8</x:v>
      </x:c>
      <x:c r="G12" s="158" t="str">
        <x:v>20 / 17 / 16 / 9 / 5 / 7</x:v>
      </x:c>
      <x:c r="H12" s="158" t="str">
        <x:v>미검증 승계·잠정</x:v>
      </x:c>
      <x:c r="I12" s="158" t="str">
        <x:v>구조점수 승계: 확인된 새 근거 없이 항목별 점수를 증감하지 않음. 최근 90일 검증된 가속도 근거 부족: 중립 가정 5점(실측 아님)</x:v>
      </x:c>
      <x:c r="J12" s="158" t="str"/>
      <x:c r="K12" s="158" t="str">
        <x:v>2025-01</x:v>
      </x:c>
    </x:row>
    <x:row r="13" ht="94" customHeight="1">
      <x:c r="A13" s="158" t="str">
        <x:v>2026-09</x:v>
      </x:c>
      <x:c r="B13" s="158" t="str">
        <x:v>ME:I</x:v>
      </x:c>
      <x:c r="C13" s="158" t="n">
        <x:v>78</x:v>
      </x:c>
      <x:c r="D13" s="158" t="n">
        <x:f>IF('전체 점수표'!I13="","",'전체 점수표'!I13)</x:f>
        <x:v>72</x:v>
      </x:c>
      <x:c r="E13" s="158" t="n">
        <x:f>IF(D13="","",D13-C13)</x:f>
        <x:v>-6</x:v>
      </x:c>
      <x:c r="F13" s="158" t="str">
        <x:v>18 / 17 / 16 / 12 / 8 / 7</x:v>
      </x:c>
      <x:c r="G13" s="158" t="str">
        <x:v>17 / 17 / 15 / 12 / 5 / 6</x:v>
      </x:c>
      <x:c r="H13" s="158" t="str">
        <x:v>미검증 승계·잠정</x:v>
      </x:c>
      <x:c r="I13" s="158" t="str">
        <x:v>구조점수 승계: 확인된 새 근거 없이 항목별 점수를 증감하지 않음. 최근 90일 검증된 가속도 근거 부족: 중립 가정 5점(실측 아님)</x:v>
      </x:c>
      <x:c r="J13" s="158" t="str"/>
      <x:c r="K13" s="158" t="str">
        <x:v>2025-01</x:v>
      </x:c>
    </x:row>
    <x:row r="14" ht="94" customHeight="1">
      <x:c r="A14" s="158" t="str">
        <x:v>2026-09</x:v>
      </x:c>
      <x:c r="B14" s="158" t="str">
        <x:v>超ときめき♡宣伝部</x:v>
      </x:c>
      <x:c r="C14" s="158" t="n">
        <x:v>80</x:v>
      </x:c>
      <x:c r="D14" s="158" t="n">
        <x:f>IF('전체 점수표'!I14="","",'전체 점수표'!I14)</x:f>
        <x:v>72</x:v>
      </x:c>
      <x:c r="E14" s="158" t="n">
        <x:f>IF(D14="","",D14-C14)</x:f>
        <x:v>-8</x:v>
      </x:c>
      <x:c r="F14" s="158" t="str">
        <x:v>21 / 16 / 16 / 12 / 8 / 7</x:v>
      </x:c>
      <x:c r="G14" s="158" t="str">
        <x:v>20 / 15 / 15 / 11 / 5 / 6</x:v>
      </x:c>
      <x:c r="H14" s="158" t="str">
        <x:v>미검증 승계·잠정</x:v>
      </x:c>
      <x:c r="I14" s="158" t="str">
        <x:v>구조점수 승계: 확인된 새 근거 없이 항목별 점수를 증감하지 않음. 최근 90일 검증된 가속도 근거 부족: 중립 가정 5점(실측 아님)</x:v>
      </x:c>
      <x:c r="J14" s="158" t="str"/>
      <x:c r="K14" s="158" t="str">
        <x:v>2025-01</x:v>
      </x:c>
    </x:row>
    <x:row r="15" ht="94" customHeight="1">
      <x:c r="A15" s="158" t="str">
        <x:v>2026-09</x:v>
      </x:c>
      <x:c r="B15" s="158" t="str">
        <x:v>i☆Ris</x:v>
      </x:c>
      <x:c r="C15" s="158" t="n">
        <x:v>76</x:v>
      </x:c>
      <x:c r="D15" s="158" t="n">
        <x:f>IF('전체 점수표'!I15="","",'전체 점수표'!I15)</x:f>
        <x:v>69</x:v>
      </x:c>
      <x:c r="E15" s="158" t="n">
        <x:f>IF(D15="","",D15-C15)</x:f>
        <x:v>-7</x:v>
      </x:c>
      <x:c r="F15" s="158" t="str">
        <x:v>20 / 16 / 14 / 11 / 7 / 8</x:v>
      </x:c>
      <x:c r="G15" s="158" t="str">
        <x:v>19 / 15 / 13 / 10 / 5 / 7</x:v>
      </x:c>
      <x:c r="H15" s="158" t="str">
        <x:v>미검증 승계·잠정</x:v>
      </x:c>
      <x:c r="I15" s="158" t="str">
        <x:v>구조점수 승계: 확인된 새 근거 없이 항목별 점수를 증감하지 않음. 최근 90일 검증된 가속도 근거 부족: 중립 가정 5점(실측 아님)</x:v>
      </x:c>
      <x:c r="J15" s="158" t="str"/>
      <x:c r="K15" s="158" t="str">
        <x:v>2025-01</x:v>
      </x:c>
    </x:row>
    <x:row r="16" ht="94" customHeight="1">
      <x:c r="A16" s="158" t="str">
        <x:v>2026-09</x:v>
      </x:c>
      <x:c r="B16" s="158" t="str">
        <x:v>モーニング娘。'26</x:v>
      </x:c>
      <x:c r="C16" s="158" t="n">
        <x:v>73</x:v>
      </x:c>
      <x:c r="D16" s="158" t="n">
        <x:f>IF('전체 점수표'!I16="","",'전체 점수표'!I16)</x:f>
        <x:v>68</x:v>
      </x:c>
      <x:c r="E16" s="158" t="n">
        <x:f>IF(D16="","",D16-C16)</x:f>
        <x:v>-5</x:v>
      </x:c>
      <x:c r="F16" s="158" t="str">
        <x:v>18 / 17 / 17 / 8 / 6 / 7</x:v>
      </x:c>
      <x:c r="G16" s="158" t="str">
        <x:v>17 / 16 / 16 / 8 / 5 / 6</x:v>
      </x:c>
      <x:c r="H16" s="158" t="str">
        <x:v>미검증 승계·잠정</x:v>
      </x:c>
      <x:c r="I16" s="158" t="str">
        <x:v>구조점수 승계: 확인된 새 근거 없이 항목별 점수를 증감하지 않음. 최근 90일 검증된 가속도 근거 부족: 중립 가정 5점(실측 아님)</x:v>
      </x:c>
      <x:c r="J16" s="158" t="str"/>
      <x:c r="K16" s="158" t="str">
        <x:v>2025-01</x:v>
      </x:c>
    </x:row>
    <x:row r="17" ht="94" customHeight="1">
      <x:c r="A17" s="158" t="str">
        <x:v>2026-09</x:v>
      </x:c>
      <x:c r="B17" s="158" t="str">
        <x:v>ももいろクローバーZ</x:v>
      </x:c>
      <x:c r="C17" s="158" t="n">
        <x:v>71</x:v>
      </x:c>
      <x:c r="D17" s="158" t="n">
        <x:f>IF('전체 점수표'!I17="","",'전체 점수표'!I17)</x:f>
        <x:v>68</x:v>
      </x:c>
      <x:c r="E17" s="158" t="n">
        <x:f>IF(D17="","",D17-C17)</x:f>
        <x:v>-3</x:v>
      </x:c>
      <x:c r="F17" s="158" t="str">
        <x:v>18 / 15 / 19 / 8 / 4 / 7</x:v>
      </x:c>
      <x:c r="G17" s="158" t="str">
        <x:v>17 / 14 / 18 / 8 / 5 / 6</x:v>
      </x:c>
      <x:c r="H17" s="158" t="str">
        <x:v>미검증 승계·잠정</x:v>
      </x:c>
      <x:c r="I17" s="158" t="str">
        <x:v>구조점수 승계: 확인된 새 근거 없이 항목별 점수를 증감하지 않음. 최근 90일 검증된 가속도 근거 부족: 중립 가정 5점(실측 아님)</x:v>
      </x:c>
      <x:c r="J17" s="158" t="str"/>
      <x:c r="K17" s="158" t="str">
        <x:v>2025-01</x:v>
      </x:c>
    </x:row>
    <x:row r="18" ht="94" customHeight="1">
      <x:c r="A18" s="158" t="str">
        <x:v>2026-09</x:v>
      </x:c>
      <x:c r="B18" s="158" t="str">
        <x:v>≠ME</x:v>
      </x:c>
      <x:c r="C18" s="158" t="n">
        <x:v>75</x:v>
      </x:c>
      <x:c r="D18" s="158" t="n">
        <x:f>IF('전체 점수표'!I18="","",'전체 점수표'!I18)</x:f>
        <x:v>67</x:v>
      </x:c>
      <x:c r="E18" s="158" t="n">
        <x:f>IF(D18="","",D18-C18)</x:f>
        <x:v>-8</x:v>
      </x:c>
      <x:c r="F18" s="158" t="str">
        <x:v>18 / 17 / 14 / 11 / 8 / 7</x:v>
      </x:c>
      <x:c r="G18" s="158" t="str">
        <x:v>17 / 16 / 13 / 10 / 5 / 6</x:v>
      </x:c>
      <x:c r="H18" s="158" t="str">
        <x:v>미검증 승계·잠정</x:v>
      </x:c>
      <x:c r="I18" s="158" t="str">
        <x:v>구조점수 승계: 확인된 새 근거 없이 항목별 점수를 증감하지 않음. 최근 90일 검증된 가속도 근거 부족: 중립 가정 5점(실측 아님)</x:v>
      </x:c>
      <x:c r="J18" s="158" t="str"/>
      <x:c r="K18" s="158" t="str">
        <x:v>2025-01</x:v>
      </x:c>
    </x:row>
    <x:row r="19" ht="94" customHeight="1">
      <x:c r="A19" s="158" t="str">
        <x:v>2026-09</x:v>
      </x:c>
      <x:c r="B19" s="158" t="str">
        <x:v>CANDY TUNE</x:v>
      </x:c>
      <x:c r="C19" s="158" t="n">
        <x:v>78</x:v>
      </x:c>
      <x:c r="D19" s="158" t="n">
        <x:f>IF('전체 점수표'!I19="","",'전체 점수표'!I19)</x:f>
        <x:v>66</x:v>
      </x:c>
      <x:c r="E19" s="158" t="n">
        <x:f>IF(D19="","",D19-C19)</x:f>
        <x:v>-12</x:v>
      </x:c>
      <x:c r="F19" s="158" t="str">
        <x:v>17 / 15 / 15 / 15 / 9 / 7</x:v>
      </x:c>
      <x:c r="G19" s="158" t="str">
        <x:v>15 / 14 / 13 / 14 / 5 / 5</x:v>
      </x:c>
      <x:c r="H19" s="158" t="str">
        <x:v>미검증 승계·잠정</x:v>
      </x:c>
      <x:c r="I19" s="158" t="str">
        <x:v>구조점수 승계: 확인된 새 근거 없이 항목별 점수를 증감하지 않음. 최근 90일 검증된 가속도 근거 부족: 중립 가정 5점(실측 아님)</x:v>
      </x:c>
      <x:c r="J19" s="158" t="str"/>
      <x:c r="K19" s="158" t="str">
        <x:v>2025-01</x:v>
      </x:c>
    </x:row>
    <x:row r="20" ht="94" customHeight="1">
      <x:c r="A20" s="158" t="str">
        <x:v>2026-09</x:v>
      </x:c>
      <x:c r="B20" s="158" t="str">
        <x:v>いぎなり東北産</x:v>
      </x:c>
      <x:c r="C20" s="158" t="n">
        <x:v>74</x:v>
      </x:c>
      <x:c r="D20" s="158" t="n">
        <x:f>IF('전체 점수표'!I20="","",'전체 점수표'!I20)</x:f>
        <x:v>66</x:v>
      </x:c>
      <x:c r="E20" s="158" t="n">
        <x:f>IF(D20="","",D20-C20)</x:f>
        <x:v>-8</x:v>
      </x:c>
      <x:c r="F20" s="158" t="str">
        <x:v>20 / 15 / 14 / 8 / 9 / 8</x:v>
      </x:c>
      <x:c r="G20" s="158" t="str">
        <x:v>19 / 14 / 13 / 8 / 5 / 7</x:v>
      </x:c>
      <x:c r="H20" s="158" t="str">
        <x:v>미검증 승계·잠정</x:v>
      </x:c>
      <x:c r="I20" s="158" t="str">
        <x:v>구조점수 승계: 확인된 새 근거 없이 항목별 점수를 증감하지 않음. 최근 90일 검증된 가속도 근거 부족: 중립 가정 5점(실측 아님)</x:v>
      </x:c>
      <x:c r="J20" s="158" t="str"/>
      <x:c r="K20" s="158" t="str">
        <x:v>2025-01</x:v>
      </x:c>
    </x:row>
    <x:row r="21" ht="94" customHeight="1">
      <x:c r="A21" s="158" t="str">
        <x:v>2026-09</x:v>
      </x:c>
      <x:c r="B21" s="158" t="str">
        <x:v>iLiFE!</x:v>
      </x:c>
      <x:c r="C21" s="158" t="n">
        <x:v>80</x:v>
      </x:c>
      <x:c r="D21" s="158" t="n">
        <x:f>IF('전체 점수표'!I21="","",'전체 점수표'!I21)</x:f>
        <x:v>65</x:v>
      </x:c>
      <x:c r="E21" s="158" t="n">
        <x:f>IF(D21="","",D21-C21)</x:f>
        <x:v>-15</x:v>
      </x:c>
      <x:c r="F21" s="158" t="str">
        <x:v>22 / 17 / 12 / 13 / 9 / 7</x:v>
      </x:c>
      <x:c r="G21" s="158" t="str">
        <x:v>18 / 15 / 10 / 12 / 5 / 5</x:v>
      </x:c>
      <x:c r="H21" s="158" t="str">
        <x:v>부분확인·잠정</x:v>
      </x:c>
      <x:c r="I21" s="158" t="str">
        <x:v>구조점수 승계: 확인된 새 근거 없이 항목별 점수를 증감하지 않음. 최근 90일 검증된 가속도 근거 부족: 중립 가정 5점(실측 아님)</x:v>
      </x:c>
      <x:c r="J21" s="158" t="str">
        <x:v>E061</x:v>
      </x:c>
      <x:c r="K21" s="158" t="str">
        <x:v>2025-01</x:v>
      </x:c>
    </x:row>
    <x:row r="22" ht="94" customHeight="1">
      <x:c r="A22" s="158" t="str">
        <x:v>2026-09</x:v>
      </x:c>
      <x:c r="B22" s="158" t="str">
        <x:v>Juice=Juice</x:v>
      </x:c>
      <x:c r="C22" s="158" t="n">
        <x:v>70</x:v>
      </x:c>
      <x:c r="D22" s="158" t="n">
        <x:f>IF('전체 점수표'!I22="","",'전체 점수표'!I22)</x:f>
        <x:v>64</x:v>
      </x:c>
      <x:c r="E22" s="158" t="n">
        <x:f>IF(D22="","",D22-C22)</x:f>
        <x:v>-6</x:v>
      </x:c>
      <x:c r="F22" s="158" t="str">
        <x:v>18 / 16 / 14 / 8 / 7 / 7</x:v>
      </x:c>
      <x:c r="G22" s="158" t="str">
        <x:v>17 / 15 / 13 / 8 / 5 / 6</x:v>
      </x:c>
      <x:c r="H22" s="158" t="str">
        <x:v>미검증 승계·잠정</x:v>
      </x:c>
      <x:c r="I22" s="158" t="str">
        <x:v>구조점수 승계: 확인된 새 근거 없이 항목별 점수를 증감하지 않음. 최근 90일 검증된 가속도 근거 부족: 중립 가정 5점(실측 아님)</x:v>
      </x:c>
      <x:c r="J22" s="158" t="str"/>
      <x:c r="K22" s="158" t="str">
        <x:v>2025-01</x:v>
      </x:c>
    </x:row>
    <x:row r="23" ht="94" customHeight="1">
      <x:c r="A23" s="158" t="str">
        <x:v>2026-09</x:v>
      </x:c>
      <x:c r="B23" s="158" t="str">
        <x:v>HANA</x:v>
      </x:c>
      <x:c r="C23" s="158" t="n">
        <x:v>91</x:v>
      </x:c>
      <x:c r="D23" s="158" t="n">
        <x:f>IF('전체 점수표'!I23="","",'전체 점수표'!I23)</x:f>
        <x:v>63</x:v>
      </x:c>
      <x:c r="E23" s="158" t="n">
        <x:f>IF(D23="","",D23-C23)</x:f>
        <x:v>-28</x:v>
      </x:c>
      <x:c r="F23" s="158" t="str">
        <x:v>20 / 17 / 20 / 15 / 10 / 9</x:v>
      </x:c>
      <x:c r="G23" s="158" t="str">
        <x:v>15 / 9 / 17 / 14 / 5 / 3</x:v>
      </x:c>
      <x:c r="H23" s="158" t="str">
        <x:v>부분확인·잠정</x:v>
      </x:c>
      <x:c r="I23" s="158" t="str">
        <x:v>구조점수 승계: 확인된 새 근거 없이 항목별 점수를 증감하지 않음. 최근 90일 검증된 가속도 근거 부족: 중립 가정 5점(실측 아님)</x:v>
      </x:c>
      <x:c r="J23" s="158" t="str">
        <x:v>E057, E058, E065, E067, E068</x:v>
      </x:c>
      <x:c r="K23" s="158" t="str">
        <x:v>2025-04</x:v>
      </x:c>
    </x:row>
    <x:row r="24" ht="94" customHeight="1">
      <x:c r="A24" s="158" t="str">
        <x:v>2026-09</x:v>
      </x:c>
      <x:c r="B24" s="158" t="str">
        <x:v>HKT48</x:v>
      </x:c>
      <x:c r="C24" s="158" t="n">
        <x:v>66</x:v>
      </x:c>
      <x:c r="D24" s="158" t="n">
        <x:f>IF('전체 점수표'!I24="","",'전체 점수표'!I24)</x:f>
        <x:v>61</x:v>
      </x:c>
      <x:c r="E24" s="158" t="n">
        <x:f>IF(D24="","",D24-C24)</x:f>
        <x:v>-5</x:v>
      </x:c>
      <x:c r="F24" s="158" t="str">
        <x:v>15 / 15 / 15 / 7 / 6 / 8</x:v>
      </x:c>
      <x:c r="G24" s="158" t="str">
        <x:v>14 / 14 / 14 / 7 / 5 / 7</x:v>
      </x:c>
      <x:c r="H24" s="158" t="str">
        <x:v>미검증 승계·잠정</x:v>
      </x:c>
      <x:c r="I24" s="158" t="str">
        <x:v>구조점수 승계: 확인된 새 근거 없이 항목별 점수를 증감하지 않음. 최근 90일 검증된 가속도 근거 부족: 중립 가정 5점(실측 아님)</x:v>
      </x:c>
      <x:c r="J24" s="158" t="str"/>
      <x:c r="K24" s="158" t="str">
        <x:v>2025-01</x:v>
      </x:c>
    </x:row>
    <x:row r="25" ht="94" customHeight="1">
      <x:c r="A25" s="158" t="str">
        <x:v>2026-09</x:v>
      </x:c>
      <x:c r="B25" s="158" t="str">
        <x:v>≒JOY</x:v>
      </x:c>
      <x:c r="C25" s="158" t="n">
        <x:v>67</x:v>
      </x:c>
      <x:c r="D25" s="158" t="n">
        <x:f>IF('전체 점수표'!I25="","",'전체 점수표'!I25)</x:f>
        <x:v>60</x:v>
      </x:c>
      <x:c r="E25" s="158" t="n">
        <x:f>IF(D25="","",D25-C25)</x:f>
        <x:v>-7</x:v>
      </x:c>
      <x:c r="F25" s="158" t="str">
        <x:v>15 / 15 / 12 / 10 / 8 / 7</x:v>
      </x:c>
      <x:c r="G25" s="158" t="str">
        <x:v>14 / 14 / 11 / 10 / 5 / 6</x:v>
      </x:c>
      <x:c r="H25" s="158" t="str">
        <x:v>미검증 승계·잠정</x:v>
      </x:c>
      <x:c r="I25" s="158" t="str">
        <x:v>구조점수 승계: 확인된 새 근거 없이 항목별 점수를 증감하지 않음. 최근 90일 검증된 가속도 근거 부족: 중립 가정 5점(실측 아님)</x:v>
      </x:c>
      <x:c r="J25" s="158" t="str"/>
      <x:c r="K25" s="158" t="str">
        <x:v>2025-01</x:v>
      </x:c>
    </x:row>
    <x:row r="26" ht="94" customHeight="1">
      <x:c r="A26" s="158" t="str">
        <x:v>2026-09</x:v>
      </x:c>
      <x:c r="B26" s="158" t="str">
        <x:v>PassCode</x:v>
      </x:c>
      <x:c r="C26" s="158" t="n">
        <x:v>64</x:v>
      </x:c>
      <x:c r="D26" s="158" t="n">
        <x:f>IF('전체 점수표'!I26="","",'전체 점수표'!I26)</x:f>
        <x:v>59</x:v>
      </x:c>
      <x:c r="E26" s="158" t="n">
        <x:f>IF(D26="","",D26-C26)</x:f>
        <x:v>-5</x:v>
      </x:c>
      <x:c r="F26" s="158" t="str">
        <x:v>19 / 13 / 10 / 9 / 6 / 7</x:v>
      </x:c>
      <x:c r="G26" s="158" t="str">
        <x:v>18 / 12 / 9 / 9 / 5 / 6</x:v>
      </x:c>
      <x:c r="H26" s="158" t="str">
        <x:v>미검증 승계·잠정</x:v>
      </x:c>
      <x:c r="I26" s="158" t="str">
        <x:v>구조점수 승계: 확인된 새 근거 없이 항목별 점수를 증감하지 않음. 최근 90일 검증된 가속도 근거 부족: 중립 가정 5점(실측 아님)</x:v>
      </x:c>
      <x:c r="J26" s="158" t="str"/>
      <x:c r="K26" s="158" t="str">
        <x:v>2025-01</x:v>
      </x:c>
    </x:row>
    <x:row r="27" ht="94" customHeight="1">
      <x:c r="A27" s="158" t="str">
        <x:v>2026-09</x:v>
      </x:c>
      <x:c r="B27" s="158" t="str">
        <x:v>アンジュルム</x:v>
      </x:c>
      <x:c r="C27" s="158" t="n">
        <x:v>64</x:v>
      </x:c>
      <x:c r="D27" s="158" t="n">
        <x:f>IF('전체 점수표'!I27="","",'전체 점수표'!I27)</x:f>
        <x:v>59</x:v>
      </x:c>
      <x:c r="E27" s="158" t="n">
        <x:f>IF(D27="","",D27-C27)</x:f>
        <x:v>-5</x:v>
      </x:c>
      <x:c r="F27" s="158" t="str">
        <x:v>16 / 15 / 13 / 7 / 6 / 7</x:v>
      </x:c>
      <x:c r="G27" s="158" t="str">
        <x:v>15 / 14 / 12 / 7 / 5 / 6</x:v>
      </x:c>
      <x:c r="H27" s="158" t="str">
        <x:v>미검증 승계·잠정</x:v>
      </x:c>
      <x:c r="I27" s="158" t="str">
        <x:v>구조점수 승계: 확인된 새 근거 없이 항목별 점수를 증감하지 않음. 최근 90일 검증된 가속도 근거 부족: 중립 가정 5점(실측 아님)</x:v>
      </x:c>
      <x:c r="J27" s="158" t="str"/>
      <x:c r="K27" s="158" t="str">
        <x:v>2025-01</x:v>
      </x:c>
    </x:row>
    <x:row r="28" ht="94" customHeight="1">
      <x:c r="A28" s="158" t="str">
        <x:v>2026-09</x:v>
      </x:c>
      <x:c r="B28" s="158" t="str">
        <x:v>高嶺のなでしこ</x:v>
      </x:c>
      <x:c r="C28" s="158" t="n">
        <x:v>65</x:v>
      </x:c>
      <x:c r="D28" s="158" t="n">
        <x:f>IF('전체 점수표'!I28="","",'전체 점수표'!I28)</x:f>
        <x:v>58</x:v>
      </x:c>
      <x:c r="E28" s="158" t="n">
        <x:f>IF(D28="","",D28-C28)</x:f>
        <x:v>-7</x:v>
      </x:c>
      <x:c r="F28" s="158" t="str">
        <x:v>14 / 13 / 12 / 11 / 8 / 7</x:v>
      </x:c>
      <x:c r="G28" s="158" t="str">
        <x:v>13 / 12 / 11 / 11 / 5 / 6</x:v>
      </x:c>
      <x:c r="H28" s="158" t="str">
        <x:v>미검증 승계·잠정</x:v>
      </x:c>
      <x:c r="I28" s="158" t="str">
        <x:v>구조점수 승계: 확인된 새 근거 없이 항목별 점수를 증감하지 않음. 최근 90일 검증된 가속도 근거 부족: 중립 가정 5점(실측 아님)</x:v>
      </x:c>
      <x:c r="J28" s="158" t="str"/>
      <x:c r="K28" s="158" t="str">
        <x:v>2025-01</x:v>
      </x:c>
    </x:row>
    <x:row r="29" ht="94" customHeight="1">
      <x:c r="A29" s="158" t="str">
        <x:v>2026-09</x:v>
      </x:c>
      <x:c r="B29" s="158" t="str">
        <x:v>SKE48</x:v>
      </x:c>
      <x:c r="C29" s="158" t="n">
        <x:v>59</x:v>
      </x:c>
      <x:c r="D29" s="158" t="n">
        <x:f>IF('전체 점수표'!I29="","",'전체 점수표'!I29)</x:f>
        <x:v>56</x:v>
      </x:c>
      <x:c r="E29" s="158" t="n">
        <x:f>IF(D29="","",D29-C29)</x:f>
        <x:v>-3</x:v>
      </x:c>
      <x:c r="F29" s="158" t="str">
        <x:v>14 / 16 / 12 / 6 / 4 / 7</x:v>
      </x:c>
      <x:c r="G29" s="158" t="str">
        <x:v>13 / 15 / 11 / 6 / 5 / 6</x:v>
      </x:c>
      <x:c r="H29" s="158" t="str">
        <x:v>미검증 승계·잠정</x:v>
      </x:c>
      <x:c r="I29" s="158" t="str">
        <x:v>구조점수 승계: 확인된 새 근거 없이 항목별 점수를 증감하지 않음. 최근 90일 검증된 가속도 근거 부족: 중립 가정 5점(실측 아님)</x:v>
      </x:c>
      <x:c r="J29" s="158" t="str"/>
      <x:c r="K29" s="158" t="str">
        <x:v>2025-01</x:v>
      </x:c>
    </x:row>
    <x:row r="30" ht="94" customHeight="1">
      <x:c r="A30" s="158" t="str">
        <x:v>2026-09</x:v>
      </x:c>
      <x:c r="B30" s="158" t="str">
        <x:v>WHITE SCORPION</x:v>
      </x:c>
      <x:c r="C30" s="158" t="n">
        <x:v>63</x:v>
      </x:c>
      <x:c r="D30" s="158" t="n">
        <x:f>IF('전체 점수표'!I30="","",'전체 점수표'!I30)</x:f>
        <x:v>55</x:v>
      </x:c>
      <x:c r="E30" s="158" t="n">
        <x:f>IF(D30="","",D30-C30)</x:f>
        <x:v>-8</x:v>
      </x:c>
      <x:c r="F30" s="158" t="str">
        <x:v>16 / 12 / 9 / 9 / 9 / 8</x:v>
      </x:c>
      <x:c r="G30" s="158" t="str">
        <x:v>15 / 11 / 8 / 9 / 5 / 7</x:v>
      </x:c>
      <x:c r="H30" s="158" t="str">
        <x:v>미검증 승계·잠정</x:v>
      </x:c>
      <x:c r="I30" s="158" t="str">
        <x:v>구조점수 승계: 확인된 새 근거 없이 항목별 점수를 증감하지 않음. 최근 90일 검증된 가속도 근거 부족: 중립 가정 5점(실측 아님)</x:v>
      </x:c>
      <x:c r="J30" s="158" t="str"/>
      <x:c r="K30" s="158" t="str">
        <x:v>2025-01</x:v>
      </x:c>
    </x:row>
    <x:row r="31" ht="94" customHeight="1">
      <x:c r="A31" s="158" t="str">
        <x:v>2026-09</x:v>
      </x:c>
      <x:c r="B31" s="158" t="str">
        <x:v>私立恵比寿中学</x:v>
      </x:c>
      <x:c r="C31" s="158" t="n">
        <x:v>59</x:v>
      </x:c>
      <x:c r="D31" s="158" t="n">
        <x:f>IF('전체 점수표'!I31="","",'전체 점수표'!I31)</x:f>
        <x:v>55</x:v>
      </x:c>
      <x:c r="E31" s="158" t="n">
        <x:f>IF(D31="","",D31-C31)</x:f>
        <x:v>-4</x:v>
      </x:c>
      <x:c r="F31" s="158" t="str">
        <x:v>15 / 13 / 12 / 7 / 5 / 7</x:v>
      </x:c>
      <x:c r="G31" s="158" t="str">
        <x:v>14 / 12 / 11 / 7 / 5 / 6</x:v>
      </x:c>
      <x:c r="H31" s="158" t="str">
        <x:v>미검증 승계·잠정</x:v>
      </x:c>
      <x:c r="I31" s="158" t="str">
        <x:v>구조점수 승계: 확인된 새 근거 없이 항목별 점수를 증감하지 않음. 최근 90일 검증된 가속도 근거 부족: 중립 가정 5점(실측 아님)</x:v>
      </x:c>
      <x:c r="J31" s="158" t="str"/>
      <x:c r="K31" s="158" t="str">
        <x:v>2025-01</x:v>
      </x:c>
    </x:row>
    <x:row r="32" ht="94" customHeight="1">
      <x:c r="A32" s="158" t="str">
        <x:v>2026-09</x:v>
      </x:c>
      <x:c r="B32" s="158" t="str">
        <x:v>SWEET STEADY</x:v>
      </x:c>
      <x:c r="C32" s="158" t="n">
        <x:v>67</x:v>
      </x:c>
      <x:c r="D32" s="158" t="n">
        <x:f>IF('전체 점수표'!I32="","",'전체 점수표'!I32)</x:f>
        <x:v>54</x:v>
      </x:c>
      <x:c r="E32" s="158" t="n">
        <x:f>IF(D32="","",D32-C32)</x:f>
        <x:v>-13</x:v>
      </x:c>
      <x:c r="F32" s="158" t="str">
        <x:v>14 / 13 / 12 / 12 / 9 / 7</x:v>
      </x:c>
      <x:c r="G32" s="158" t="str">
        <x:v>12 / 11 / 10 / 11 / 5 / 5</x:v>
      </x:c>
      <x:c r="H32" s="158" t="str">
        <x:v>미검증 승계·잠정</x:v>
      </x:c>
      <x:c r="I32" s="158" t="str">
        <x:v>구조점수 승계: 확인된 새 근거 없이 항목별 점수를 증감하지 않음. 최근 90일 검증된 가속도 근거 부족: 중립 가정 5점(실측 아님)</x:v>
      </x:c>
      <x:c r="J32" s="158" t="str"/>
      <x:c r="K32" s="158" t="str">
        <x:v>2025-01</x:v>
      </x:c>
    </x:row>
    <x:row r="33" ht="94" customHeight="1">
      <x:c r="A33" s="158" t="str">
        <x:v>2026-09</x:v>
      </x:c>
      <x:c r="B33" s="158" t="str">
        <x:v>ファントムシータ</x:v>
      </x:c>
      <x:c r="C33" s="158" t="n">
        <x:v>61</x:v>
      </x:c>
      <x:c r="D33" s="158" t="n">
        <x:f>IF('전체 점수표'!I33="","",'전체 점수표'!I33)</x:f>
        <x:v>54</x:v>
      </x:c>
      <x:c r="E33" s="158" t="n">
        <x:f>IF(D33="","",D33-C33)</x:f>
        <x:v>-7</x:v>
      </x:c>
      <x:c r="F33" s="158" t="str">
        <x:v>12 / 10 / 10 / 14 / 8 / 7</x:v>
      </x:c>
      <x:c r="G33" s="158" t="str">
        <x:v>11 / 9 / 9 / 14 / 5 / 6</x:v>
      </x:c>
      <x:c r="H33" s="158" t="str">
        <x:v>미검증 승계·잠정</x:v>
      </x:c>
      <x:c r="I33" s="158" t="str">
        <x:v>구조점수 승계: 확인된 새 근거 없이 항목별 점수를 증감하지 않음. 최근 90일 검증된 가속도 근거 부족: 중립 가정 5점(실측 아님)</x:v>
      </x:c>
      <x:c r="J33" s="158" t="str"/>
      <x:c r="K33" s="158" t="str">
        <x:v>2025-01</x:v>
      </x:c>
    </x:row>
    <x:row r="34" ht="94" customHeight="1">
      <x:c r="A34" s="158" t="str">
        <x:v>2026-09</x:v>
      </x:c>
      <x:c r="B34" s="158" t="str">
        <x:v>わーすた</x:v>
      </x:c>
      <x:c r="C34" s="158" t="n">
        <x:v>59</x:v>
      </x:c>
      <x:c r="D34" s="158" t="n">
        <x:f>IF('전체 점수표'!I34="","",'전체 점수표'!I34)</x:f>
        <x:v>54</x:v>
      </x:c>
      <x:c r="E34" s="158" t="n">
        <x:f>IF(D34="","",D34-C34)</x:f>
        <x:v>-5</x:v>
      </x:c>
      <x:c r="F34" s="158" t="str">
        <x:v>15 / 12 / 11 / 8 / 6 / 7</x:v>
      </x:c>
      <x:c r="G34" s="158" t="str">
        <x:v>14 / 11 / 10 / 8 / 5 / 6</x:v>
      </x:c>
      <x:c r="H34" s="158" t="str">
        <x:v>미검증 승계·잠정</x:v>
      </x:c>
      <x:c r="I34" s="158" t="str">
        <x:v>구조점수 승계: 확인된 새 근거 없이 항목별 점수를 증감하지 않음. 최근 90일 검증된 가속도 근거 부족: 중립 가정 5점(실측 아님)</x:v>
      </x:c>
      <x:c r="J34" s="158" t="str"/>
      <x:c r="K34" s="158" t="str">
        <x:v>2025-01</x:v>
      </x:c>
    </x:row>
    <x:row r="35" ht="94" customHeight="1">
      <x:c r="A35" s="158" t="str">
        <x:v>2026-09</x:v>
      </x:c>
      <x:c r="B35" s="158" t="str">
        <x:v>つばきファクトリー</x:v>
      </x:c>
      <x:c r="C35" s="158" t="n">
        <x:v>58</x:v>
      </x:c>
      <x:c r="D35" s="158" t="n">
        <x:f>IF('전체 점수표'!I35="","",'전체 점수표'!I35)</x:f>
        <x:v>53</x:v>
      </x:c>
      <x:c r="E35" s="158" t="n">
        <x:f>IF(D35="","",D35-C35)</x:f>
        <x:v>-5</x:v>
      </x:c>
      <x:c r="F35" s="158" t="str">
        <x:v>14 / 14 / 10 / 6 / 6 / 8</x:v>
      </x:c>
      <x:c r="G35" s="158" t="str">
        <x:v>13 / 13 / 9 / 6 / 5 / 7</x:v>
      </x:c>
      <x:c r="H35" s="158" t="str">
        <x:v>미검증 승계·잠정</x:v>
      </x:c>
      <x:c r="I35" s="158" t="str">
        <x:v>구조점수 승계: 확인된 새 근거 없이 항목별 점수를 증감하지 않음. 최근 90일 검증된 가속도 근거 부족: 중립 가정 5점(실측 아님)</x:v>
      </x:c>
      <x:c r="J35" s="158" t="str"/>
      <x:c r="K35" s="158" t="str">
        <x:v>2025-01</x:v>
      </x:c>
    </x:row>
    <x:row r="36" ht="94" customHeight="1">
      <x:c r="A36" s="158" t="str">
        <x:v>2026-09</x:v>
      </x:c>
      <x:c r="B36" s="158" t="str">
        <x:v>NMB48</x:v>
      </x:c>
      <x:c r="C36" s="158" t="n">
        <x:v>55</x:v>
      </x:c>
      <x:c r="D36" s="158" t="n">
        <x:f>IF('전체 점수표'!I36="","",'전체 점수표'!I36)</x:f>
        <x:v>52</x:v>
      </x:c>
      <x:c r="E36" s="158" t="n">
        <x:f>IF(D36="","",D36-C36)</x:f>
        <x:v>-3</x:v>
      </x:c>
      <x:c r="F36" s="158" t="str">
        <x:v>14 / 14 / 11 / 5 / 4 / 7</x:v>
      </x:c>
      <x:c r="G36" s="158" t="str">
        <x:v>13 / 13 / 10 / 5 / 5 / 6</x:v>
      </x:c>
      <x:c r="H36" s="158" t="str">
        <x:v>미검증 승계·잠정</x:v>
      </x:c>
      <x:c r="I36" s="158" t="str">
        <x:v>구조점수 승계: 확인된 새 근거 없이 항목별 점수를 증감하지 않음. 최근 90일 검증된 가속도 근거 부족: 중립 가정 5점(실측 아님)</x:v>
      </x:c>
      <x:c r="J36" s="158" t="str"/>
      <x:c r="K36" s="158" t="str">
        <x:v>2025-01</x:v>
      </x:c>
    </x:row>
    <x:row r="37" ht="94" customHeight="1">
      <x:c r="A37" s="158" t="str">
        <x:v>2026-09</x:v>
      </x:c>
      <x:c r="B37" s="158" t="str">
        <x:v>Girls²</x:v>
      </x:c>
      <x:c r="C37" s="158" t="n">
        <x:v>57</x:v>
      </x:c>
      <x:c r="D37" s="158" t="n">
        <x:f>IF('전체 점수표'!I37="","",'전체 점수표'!I37)</x:f>
        <x:v>51</x:v>
      </x:c>
      <x:c r="E37" s="158" t="n">
        <x:f>IF(D37="","",D37-C37)</x:f>
        <x:v>-6</x:v>
      </x:c>
      <x:c r="F37" s="158" t="str">
        <x:v>12 / 11 / 10 / 10 / 7 / 7</x:v>
      </x:c>
      <x:c r="G37" s="158" t="str">
        <x:v>11 / 10 / 9 / 10 / 5 / 6</x:v>
      </x:c>
      <x:c r="H37" s="158" t="str">
        <x:v>미검증 승계·잠정</x:v>
      </x:c>
      <x:c r="I37" s="158" t="str">
        <x:v>구조점수 승계: 확인된 새 근거 없이 항목별 점수를 증감하지 않음. 최근 90일 검증된 가속도 근거 부족: 중립 가정 5점(실측 아님)</x:v>
      </x:c>
      <x:c r="J37" s="158" t="str"/>
      <x:c r="K37" s="158" t="str">
        <x:v>2025-01</x:v>
      </x:c>
    </x:row>
    <x:row r="38" ht="94" customHeight="1">
      <x:c r="A38" s="158" t="str">
        <x:v>2026-09</x:v>
      </x:c>
      <x:c r="B38" s="158" t="str">
        <x:v>Merry BAD TUNE.</x:v>
      </x:c>
      <x:c r="C38" s="158" t="n">
        <x:v>58</x:v>
      </x:c>
      <x:c r="D38" s="158" t="n">
        <x:f>IF('전체 점수표'!I38="","",'전체 점수표'!I38)</x:f>
        <x:v>51</x:v>
      </x:c>
      <x:c r="E38" s="158" t="n">
        <x:f>IF(D38="","",D38-C38)</x:f>
        <x:v>-7</x:v>
      </x:c>
      <x:c r="F38" s="158" t="str">
        <x:v>16 / 12 / 8 / 8 / 8 / 6</x:v>
      </x:c>
      <x:c r="G38" s="158" t="str">
        <x:v>15 / 11 / 7 / 8 / 5 / 5</x:v>
      </x:c>
      <x:c r="H38" s="158" t="str">
        <x:v>미검증 승계·잠정</x:v>
      </x:c>
      <x:c r="I38" s="158" t="str">
        <x:v>구조점수 승계: 확인된 새 근거 없이 항목별 점수를 증감하지 않음. 최근 90일 검증된 가속도 근거 부족: 중립 가정 5점(실측 아님)</x:v>
      </x:c>
      <x:c r="J38" s="158" t="str"/>
      <x:c r="K38" s="158" t="str">
        <x:v>2025-01</x:v>
      </x:c>
    </x:row>
    <x:row r="39" ht="94" customHeight="1">
      <x:c r="A39" s="158" t="str">
        <x:v>2026-09</x:v>
      </x:c>
      <x:c r="B39" s="158" t="str">
        <x:v>NGT48</x:v>
      </x:c>
      <x:c r="C39" s="158" t="n">
        <x:v>54</x:v>
      </x:c>
      <x:c r="D39" s="158" t="n">
        <x:f>IF('전체 점수표'!I39="","",'전체 점수표'!I39)</x:f>
        <x:v>51</x:v>
      </x:c>
      <x:c r="E39" s="158" t="n">
        <x:f>IF(D39="","",D39-C39)</x:f>
        <x:v>-3</x:v>
      </x:c>
      <x:c r="F39" s="158" t="str">
        <x:v>13 / 13 / 12 / 5 / 4 / 7</x:v>
      </x:c>
      <x:c r="G39" s="158" t="str">
        <x:v>12 / 12 / 11 / 5 / 5 / 6</x:v>
      </x:c>
      <x:c r="H39" s="158" t="str">
        <x:v>미검증 승계·잠정</x:v>
      </x:c>
      <x:c r="I39" s="158" t="str">
        <x:v>구조점수 승계: 확인된 새 근거 없이 항목별 점수를 증감하지 않음. 최근 90일 검증된 가속도 근거 부족: 중립 가정 5점(실측 아님)</x:v>
      </x:c>
      <x:c r="J39" s="158" t="str"/>
      <x:c r="K39" s="158" t="str">
        <x:v>2025-01</x:v>
      </x:c>
    </x:row>
    <x:row r="40" ht="94" customHeight="1">
      <x:c r="A40" s="158" t="str">
        <x:v>2026-09</x:v>
      </x:c>
      <x:c r="B40" s="158" t="str">
        <x:v>OCHA NORMA</x:v>
      </x:c>
      <x:c r="C40" s="158" t="n">
        <x:v>55</x:v>
      </x:c>
      <x:c r="D40" s="158" t="n">
        <x:f>IF('전체 점수표'!I40="","",'전체 점수표'!I40)</x:f>
        <x:v>51</x:v>
      </x:c>
      <x:c r="E40" s="158" t="n">
        <x:f>IF(D40="","",D40-C40)</x:f>
        <x:v>-4</x:v>
      </x:c>
      <x:c r="F40" s="158" t="str">
        <x:v>13 / 13 / 10 / 6 / 5 / 8</x:v>
      </x:c>
      <x:c r="G40" s="158" t="str">
        <x:v>12 / 12 / 9 / 6 / 5 / 7</x:v>
      </x:c>
      <x:c r="H40" s="158" t="str">
        <x:v>미검증 승계·잠정</x:v>
      </x:c>
      <x:c r="I40" s="158" t="str">
        <x:v>구조점수 승계: 확인된 새 근거 없이 항목별 점수를 증감하지 않음. 최근 90일 검증된 가속도 근거 부족: 중립 가정 5점(실측 아님)</x:v>
      </x:c>
      <x:c r="J40" s="158" t="str"/>
      <x:c r="K40" s="158" t="str">
        <x:v>2025-01</x:v>
      </x:c>
    </x:row>
    <x:row r="41" ht="94" customHeight="1">
      <x:c r="A41" s="158" t="str">
        <x:v>2026-09</x:v>
      </x:c>
      <x:c r="B41" s="158" t="str">
        <x:v>Devil ANTHEM.</x:v>
      </x:c>
      <x:c r="C41" s="158" t="n">
        <x:v>57</x:v>
      </x:c>
      <x:c r="D41" s="158" t="n">
        <x:f>IF('전체 점수표'!I41="","",'전체 점수표'!I41)</x:f>
        <x:v>50</x:v>
      </x:c>
      <x:c r="E41" s="158" t="n">
        <x:f>IF(D41="","",D41-C41)</x:f>
        <x:v>-7</x:v>
      </x:c>
      <x:c r="F41" s="158" t="str">
        <x:v>16 / 12 / 8 / 7 / 8 / 6</x:v>
      </x:c>
      <x:c r="G41" s="158" t="str">
        <x:v>15 / 11 / 7 / 7 / 5 / 5</x:v>
      </x:c>
      <x:c r="H41" s="158" t="str">
        <x:v>미검증 승계·잠정</x:v>
      </x:c>
      <x:c r="I41" s="158" t="str">
        <x:v>구조점수 승계: 확인된 새 근거 없이 항목별 점수를 증감하지 않음. 최근 90일 검증된 가속도 근거 부족: 중립 가정 5점(실측 아님)</x:v>
      </x:c>
      <x:c r="J41" s="158" t="str"/>
      <x:c r="K41" s="158" t="str">
        <x:v>2025-01</x:v>
      </x:c>
    </x:row>
    <x:row r="42" ht="94" customHeight="1">
      <x:c r="A42" s="158" t="str">
        <x:v>2026-09</x:v>
      </x:c>
      <x:c r="B42" s="158" t="str">
        <x:v>INUWASI</x:v>
      </x:c>
      <x:c r="C42" s="158" t="n">
        <x:v>56</x:v>
      </x:c>
      <x:c r="D42" s="158" t="n">
        <x:f>IF('전체 점수표'!I42="","",'전체 점수표'!I42)</x:f>
        <x:v>50</x:v>
      </x:c>
      <x:c r="E42" s="158" t="n">
        <x:f>IF(D42="","",D42-C42)</x:f>
        <x:v>-6</x:v>
      </x:c>
      <x:c r="F42" s="158" t="str">
        <x:v>17 / 12 / 7 / 7 / 7 / 6</x:v>
      </x:c>
      <x:c r="G42" s="158" t="str">
        <x:v>16 / 11 / 6 / 7 / 5 / 5</x:v>
      </x:c>
      <x:c r="H42" s="158" t="str">
        <x:v>미검증 승계·잠정</x:v>
      </x:c>
      <x:c r="I42" s="158" t="str">
        <x:v>구조점수 승계: 확인된 새 근거 없이 항목별 점수를 증감하지 않음. 최근 90일 검증된 가속도 근거 부족: 중립 가정 5점(실측 아님)</x:v>
      </x:c>
      <x:c r="J42" s="158" t="str"/>
      <x:c r="K42" s="158" t="str">
        <x:v>2025-01</x:v>
      </x:c>
    </x:row>
    <x:row r="43" ht="94" customHeight="1">
      <x:c r="A43" s="158" t="str">
        <x:v>2026-09</x:v>
      </x:c>
      <x:c r="B43" s="158" t="str">
        <x:v>虹のコンキスタドール</x:v>
      </x:c>
      <x:c r="C43" s="158" t="n">
        <x:v>54</x:v>
      </x:c>
      <x:c r="D43" s="158" t="n">
        <x:f>IF('전체 점수표'!I43="","",'전체 점수표'!I43)</x:f>
        <x:v>50</x:v>
      </x:c>
      <x:c r="E43" s="158" t="n">
        <x:f>IF(D43="","",D43-C43)</x:f>
        <x:v>-4</x:v>
      </x:c>
      <x:c r="F43" s="158" t="str">
        <x:v>13 / 11 / 10 / 8 / 5 / 7</x:v>
      </x:c>
      <x:c r="G43" s="158" t="str">
        <x:v>12 / 10 / 9 / 8 / 5 / 6</x:v>
      </x:c>
      <x:c r="H43" s="158" t="str">
        <x:v>미검증 승계·잠정</x:v>
      </x:c>
      <x:c r="I43" s="158" t="str">
        <x:v>구조점수 승계: 확인된 새 근거 없이 항목별 점수를 증감하지 않음. 최근 90일 검증된 가속도 근거 부족: 중립 가정 5점(실측 아님)</x:v>
      </x:c>
      <x:c r="J43" s="158" t="str"/>
      <x:c r="K43" s="158" t="str">
        <x:v>2025-01</x:v>
      </x:c>
    </x:row>
    <x:row r="44" ht="94" customHeight="1">
      <x:c r="A44" s="158" t="str">
        <x:v>2026-09</x:v>
      </x:c>
      <x:c r="B44" s="158" t="str">
        <x:v>22/7</x:v>
      </x:c>
      <x:c r="C44" s="158" t="n">
        <x:v>52</x:v>
      </x:c>
      <x:c r="D44" s="158" t="n">
        <x:f>IF('전체 점수표'!I44="","",'전체 점수표'!I44)</x:f>
        <x:v>49</x:v>
      </x:c>
      <x:c r="E44" s="158" t="n">
        <x:f>IF(D44="","",D44-C44)</x:f>
        <x:v>-3</x:v>
      </x:c>
      <x:c r="F44" s="158" t="str">
        <x:v>13 / 11 / 11 / 7 / 4 / 6</x:v>
      </x:c>
      <x:c r="G44" s="158" t="str">
        <x:v>12 / 10 / 10 / 7 / 5 / 5</x:v>
      </x:c>
      <x:c r="H44" s="158" t="str">
        <x:v>미검증 승계·잠정</x:v>
      </x:c>
      <x:c r="I44" s="158" t="str">
        <x:v>구조점수 승계: 확인된 새 근거 없이 항목별 점수를 증감하지 않음. 최근 90일 검증된 가속도 근거 부족: 중립 가정 5점(실측 아님)</x:v>
      </x:c>
      <x:c r="J44" s="158" t="str"/>
      <x:c r="K44" s="158" t="str">
        <x:v>2025-01</x:v>
      </x:c>
    </x:row>
    <x:row r="45" ht="94" customHeight="1">
      <x:c r="A45" s="158" t="str">
        <x:v>2026-09</x:v>
      </x:c>
      <x:c r="B45" s="158" t="str">
        <x:v>JamsCollection</x:v>
      </x:c>
      <x:c r="C45" s="158" t="n">
        <x:v>55</x:v>
      </x:c>
      <x:c r="D45" s="158" t="n">
        <x:f>IF('전체 점수표'!I45="","",'전체 점수표'!I45)</x:f>
        <x:v>49</x:v>
      </x:c>
      <x:c r="E45" s="158" t="n">
        <x:f>IF(D45="","",D45-C45)</x:f>
        <x:v>-6</x:v>
      </x:c>
      <x:c r="F45" s="158" t="str">
        <x:v>13 / 11 / 10 / 8 / 7 / 6</x:v>
      </x:c>
      <x:c r="G45" s="158" t="str">
        <x:v>12 / 10 / 9 / 8 / 5 / 5</x:v>
      </x:c>
      <x:c r="H45" s="158" t="str">
        <x:v>미검증 승계·잠정</x:v>
      </x:c>
      <x:c r="I45" s="158" t="str">
        <x:v>구조점수 승계: 확인된 새 근거 없이 항목별 점수를 증감하지 않음. 최근 90일 검증된 가속도 근거 부족: 중립 가정 5점(실측 아님)</x:v>
      </x:c>
      <x:c r="J45" s="158" t="str"/>
      <x:c r="K45" s="158" t="str">
        <x:v>2025-01</x:v>
      </x:c>
    </x:row>
    <x:row r="46" ht="94" customHeight="1">
      <x:c r="A46" s="158" t="str">
        <x:v>2026-09</x:v>
      </x:c>
      <x:c r="B46" s="158" t="str">
        <x:v>Palette Parade</x:v>
      </x:c>
      <x:c r="C46" s="158" t="n">
        <x:v>56</x:v>
      </x:c>
      <x:c r="D46" s="158" t="n">
        <x:f>IF('전체 점수표'!I46="","",'전체 점수표'!I46)</x:f>
        <x:v>49</x:v>
      </x:c>
      <x:c r="E46" s="158" t="n">
        <x:f>IF(D46="","",D46-C46)</x:f>
        <x:v>-7</x:v>
      </x:c>
      <x:c r="F46" s="158" t="str">
        <x:v>15 / 11 / 8 / 8 / 8 / 6</x:v>
      </x:c>
      <x:c r="G46" s="158" t="str">
        <x:v>14 / 10 / 7 / 8 / 5 / 5</x:v>
      </x:c>
      <x:c r="H46" s="158" t="str">
        <x:v>미검증 승계·잠정</x:v>
      </x:c>
      <x:c r="I46" s="158" t="str">
        <x:v>구조점수 승계: 확인된 새 근거 없이 항목별 점수를 증감하지 않음. 최근 90일 검증된 가속도 근거 부족: 중립 가정 5점(실측 아님)</x:v>
      </x:c>
      <x:c r="J46" s="158" t="str"/>
      <x:c r="K46" s="158" t="str">
        <x:v>2025-01</x:v>
      </x:c>
    </x:row>
    <x:row r="47" ht="94" customHeight="1">
      <x:c r="A47" s="158" t="str">
        <x:v>2026-09</x:v>
      </x:c>
      <x:c r="B47" s="158" t="str">
        <x:v>STU48</x:v>
      </x:c>
      <x:c r="C47" s="158" t="n">
        <x:v>53</x:v>
      </x:c>
      <x:c r="D47" s="158" t="n">
        <x:f>IF('전체 점수표'!I47="","",'전체 점수표'!I47)</x:f>
        <x:v>49</x:v>
      </x:c>
      <x:c r="E47" s="158" t="n">
        <x:f>IF(D47="","",D47-C47)</x:f>
        <x:v>-4</x:v>
      </x:c>
      <x:c r="F47" s="158" t="str">
        <x:v>13 / 13 / 10 / 5 / 5 / 7</x:v>
      </x:c>
      <x:c r="G47" s="158" t="str">
        <x:v>12 / 12 / 9 / 5 / 5 / 6</x:v>
      </x:c>
      <x:c r="H47" s="158" t="str">
        <x:v>미검증 승계·잠정</x:v>
      </x:c>
      <x:c r="I47" s="158" t="str">
        <x:v>구조점수 승계: 확인된 새 근거 없이 항목별 점수를 증감하지 않음. 최근 90일 검증된 가속도 근거 부족: 중립 가정 5점(실측 아님)</x:v>
      </x:c>
      <x:c r="J47" s="158" t="str"/>
      <x:c r="K47" s="158" t="str">
        <x:v>2025-01</x:v>
      </x:c>
    </x:row>
    <x:row r="48" ht="94" customHeight="1">
      <x:c r="A48" s="158" t="str">
        <x:v>2026-09</x:v>
      </x:c>
      <x:c r="B48" s="158" t="str">
        <x:v>SUPER☆GiRLS</x:v>
      </x:c>
      <x:c r="C48" s="158" t="n">
        <x:v>51</x:v>
      </x:c>
      <x:c r="D48" s="158" t="n">
        <x:f>IF('전체 점수표'!I48="","",'전체 점수표'!I48)</x:f>
        <x:v>49</x:v>
      </x:c>
      <x:c r="E48" s="158" t="n">
        <x:f>IF(D48="","",D48-C48)</x:f>
        <x:v>-2</x:v>
      </x:c>
      <x:c r="F48" s="158" t="str">
        <x:v>12 / 10 / 13 / 7 / 3 / 6</x:v>
      </x:c>
      <x:c r="G48" s="158" t="str">
        <x:v>11 / 9 / 12 / 7 / 5 / 5</x:v>
      </x:c>
      <x:c r="H48" s="158" t="str">
        <x:v>미검증 승계·잠정</x:v>
      </x:c>
      <x:c r="I48" s="158" t="str">
        <x:v>구조점수 승계: 확인된 새 근거 없이 항목별 점수를 증감하지 않음. 최근 90일 검증된 가속도 근거 부족: 중립 가정 5점(실측 아님)</x:v>
      </x:c>
      <x:c r="J48" s="158" t="str"/>
      <x:c r="K48" s="158" t="str">
        <x:v>2025-01</x:v>
      </x:c>
    </x:row>
    <x:row r="49" ht="94" customHeight="1">
      <x:c r="A49" s="158" t="str">
        <x:v>2026-09</x:v>
      </x:c>
      <x:c r="B49" s="158" t="str">
        <x:v>可憐なアイボリー</x:v>
      </x:c>
      <x:c r="C49" s="158" t="n">
        <x:v>57</x:v>
      </x:c>
      <x:c r="D49" s="158" t="n">
        <x:f>IF('전체 점수표'!I49="","",'전체 점수표'!I49)</x:f>
        <x:v>49</x:v>
      </x:c>
      <x:c r="E49" s="158" t="n">
        <x:f>IF(D49="","",D49-C49)</x:f>
        <x:v>-8</x:v>
      </x:c>
      <x:c r="F49" s="158" t="str">
        <x:v>13 / 11 / 9 / 9 / 8 / 7</x:v>
      </x:c>
      <x:c r="G49" s="158" t="str">
        <x:v>12 / 10 / 8 / 8 / 5 / 6</x:v>
      </x:c>
      <x:c r="H49" s="158" t="str">
        <x:v>미검증 승계·잠정</x:v>
      </x:c>
      <x:c r="I49" s="158" t="str">
        <x:v>구조점수 승계: 확인된 새 근거 없이 항목별 점수를 증감하지 않음. 최근 90일 검증된 가속도 근거 부족: 중립 가정 5점(실측 아님)</x:v>
      </x:c>
      <x:c r="J49" s="158" t="str"/>
      <x:c r="K49" s="158" t="str">
        <x:v>2025-01</x:v>
      </x:c>
    </x:row>
    <x:row r="50" ht="94" customHeight="1">
      <x:c r="A50" s="158" t="str">
        <x:v>2026-09</x:v>
      </x:c>
      <x:c r="B50" s="158" t="str">
        <x:v>Appare!</x:v>
      </x:c>
      <x:c r="C50" s="158" t="n">
        <x:v>53</x:v>
      </x:c>
      <x:c r="D50" s="158" t="n">
        <x:f>IF('전체 점수표'!I50="","",'전체 점수표'!I50)</x:f>
        <x:v>48</x:v>
      </x:c>
      <x:c r="E50" s="158" t="n">
        <x:f>IF(D50="","",D50-C50)</x:f>
        <x:v>-5</x:v>
      </x:c>
      <x:c r="F50" s="158" t="str">
        <x:v>13 / 10 / 10 / 8 / 6 / 6</x:v>
      </x:c>
      <x:c r="G50" s="158" t="str">
        <x:v>12 / 9 / 9 / 8 / 5 / 5</x:v>
      </x:c>
      <x:c r="H50" s="158" t="str">
        <x:v>미검증 승계·잠정</x:v>
      </x:c>
      <x:c r="I50" s="158" t="str">
        <x:v>구조점수 승계: 확인된 새 근거 없이 항목별 점수를 증감하지 않음. 최근 90일 검증된 가속도 근거 부족: 중립 가정 5점(실측 아님)</x:v>
      </x:c>
      <x:c r="J50" s="158" t="str"/>
      <x:c r="K50" s="158" t="str">
        <x:v>2025-01</x:v>
      </x:c>
    </x:row>
    <x:row r="51" ht="94" customHeight="1">
      <x:c r="A51" s="158" t="str">
        <x:v>2026-09</x:v>
      </x:c>
      <x:c r="B51" s="158" t="str">
        <x:v>ExWHYZ</x:v>
      </x:c>
      <x:c r="C51" s="158" t="n">
        <x:v>54</x:v>
      </x:c>
      <x:c r="D51" s="158" t="n">
        <x:f>IF('전체 점수표'!I51="","",'전체 점수표'!I51)</x:f>
        <x:v>48</x:v>
      </x:c>
      <x:c r="E51" s="158" t="n">
        <x:f>IF(D51="","",D51-C51)</x:f>
        <x:v>-6</x:v>
      </x:c>
      <x:c r="F51" s="158" t="str">
        <x:v>12 / 10 / 10 / 8 / 7 / 7</x:v>
      </x:c>
      <x:c r="G51" s="158" t="str">
        <x:v>11 / 9 / 9 / 8 / 5 / 6</x:v>
      </x:c>
      <x:c r="H51" s="158" t="str">
        <x:v>미검증 승계·잠정</x:v>
      </x:c>
      <x:c r="I51" s="158" t="str">
        <x:v>구조점수 승계: 확인된 새 근거 없이 항목별 점수를 증감하지 않음. 최근 90일 검증된 가속도 근거 부족: 중립 가정 5점(실측 아님)</x:v>
      </x:c>
      <x:c r="J51" s="158" t="str"/>
      <x:c r="K51" s="158" t="str">
        <x:v>2025-01</x:v>
      </x:c>
    </x:row>
    <x:row r="52" ht="94" customHeight="1">
      <x:c r="A52" s="158" t="str">
        <x:v>2026-09</x:v>
      </x:c>
      <x:c r="B52" s="158" t="str">
        <x:v>GANG PARADE</x:v>
      </x:c>
      <x:c r="C52" s="158" t="n">
        <x:v>51</x:v>
      </x:c>
      <x:c r="D52" s="158" t="n">
        <x:f>IF('전체 점수표'!I52="","",'전체 점수표'!I52)</x:f>
        <x:v>48</x:v>
      </x:c>
      <x:c r="E52" s="158" t="n">
        <x:f>IF(D52="","",D52-C52)</x:f>
        <x:v>-3</x:v>
      </x:c>
      <x:c r="F52" s="158" t="str">
        <x:v>14 / 10 / 10 / 7 / 4 / 6</x:v>
      </x:c>
      <x:c r="G52" s="158" t="str">
        <x:v>13 / 9 / 9 / 7 / 5 / 5</x:v>
      </x:c>
      <x:c r="H52" s="158" t="str">
        <x:v>미검증 승계·잠정</x:v>
      </x:c>
      <x:c r="I52" s="158" t="str">
        <x:v>구조점수 승계: 확인된 새 근거 없이 항목별 점수를 증감하지 않음. 최근 90일 검증된 가속도 근거 부족: 중립 가정 5점(실측 아님)</x:v>
      </x:c>
      <x:c r="J52" s="158" t="str"/>
      <x:c r="K52" s="158" t="str">
        <x:v>2025-01</x:v>
      </x:c>
    </x:row>
    <x:row r="53" ht="94" customHeight="1">
      <x:c r="A53" s="158" t="str">
        <x:v>2026-09</x:v>
      </x:c>
      <x:c r="B53" s="158" t="str">
        <x:v>きゅるりんってしてみて</x:v>
      </x:c>
      <x:c r="C53" s="158" t="n">
        <x:v>54</x:v>
      </x:c>
      <x:c r="D53" s="158" t="n">
        <x:f>IF('전체 점수표'!I53="","",'전체 점수표'!I53)</x:f>
        <x:v>48</x:v>
      </x:c>
      <x:c r="E53" s="158" t="n">
        <x:f>IF(D53="","",D53-C53)</x:f>
        <x:v>-6</x:v>
      </x:c>
      <x:c r="F53" s="158" t="str">
        <x:v>12 / 10 / 9 / 10 / 7 / 6</x:v>
      </x:c>
      <x:c r="G53" s="158" t="str">
        <x:v>11 / 9 / 8 / 10 / 5 / 5</x:v>
      </x:c>
      <x:c r="H53" s="158" t="str">
        <x:v>미검증 승계·잠정</x:v>
      </x:c>
      <x:c r="I53" s="158" t="str">
        <x:v>구조점수 승계: 확인된 새 근거 없이 항목별 점수를 증감하지 않음. 최근 90일 검증된 가속도 근거 부족: 중립 가정 5점(실측 아님)</x:v>
      </x:c>
      <x:c r="J53" s="158" t="str"/>
      <x:c r="K53" s="158" t="str">
        <x:v>2025-01</x:v>
      </x:c>
    </x:row>
    <x:row r="54" ht="94" customHeight="1">
      <x:c r="A54" s="158" t="str">
        <x:v>2026-09</x:v>
      </x:c>
      <x:c r="B54" s="158" t="str">
        <x:v>ばってん少女隊</x:v>
      </x:c>
      <x:c r="C54" s="158" t="n">
        <x:v>53</x:v>
      </x:c>
      <x:c r="D54" s="158" t="n">
        <x:f>IF('전체 점수표'!I54="","",'전체 점수표'!I54)</x:f>
        <x:v>48</x:v>
      </x:c>
      <x:c r="E54" s="158" t="n">
        <x:f>IF(D54="","",D54-C54)</x:f>
        <x:v>-5</x:v>
      </x:c>
      <x:c r="F54" s="158" t="str">
        <x:v>14 / 11 / 9 / 7 / 6 / 6</x:v>
      </x:c>
      <x:c r="G54" s="158" t="str">
        <x:v>13 / 10 / 8 / 7 / 5 / 5</x:v>
      </x:c>
      <x:c r="H54" s="158" t="str">
        <x:v>미검증 승계·잠정</x:v>
      </x:c>
      <x:c r="I54" s="158" t="str">
        <x:v>구조점수 승계: 확인된 새 근거 없이 항목별 점수를 증감하지 않음. 최근 90일 검증된 가속도 근거 부족: 중립 가정 5점(실측 아님)</x:v>
      </x:c>
      <x:c r="J54" s="158" t="str"/>
      <x:c r="K54" s="158" t="str">
        <x:v>2025-01</x:v>
      </x:c>
    </x:row>
    <x:row r="55" ht="94" customHeight="1">
      <x:c r="A55" s="158" t="str">
        <x:v>2026-09</x:v>
      </x:c>
      <x:c r="B55" s="158" t="str">
        <x:v>@onefive</x:v>
      </x:c>
      <x:c r="C55" s="158" t="n">
        <x:v>54</x:v>
      </x:c>
      <x:c r="D55" s="158" t="n">
        <x:f>IF('전체 점수표'!I55="","",'전체 점수표'!I55)</x:f>
        <x:v>47</x:v>
      </x:c>
      <x:c r="E55" s="158" t="n">
        <x:f>IF(D55="","",D55-C55)</x:f>
        <x:v>-7</x:v>
      </x:c>
      <x:c r="F55" s="158" t="str">
        <x:v>14 / 10 / 8 / 8 / 8 / 6</x:v>
      </x:c>
      <x:c r="G55" s="158" t="str">
        <x:v>13 / 9 / 7 / 8 / 5 / 5</x:v>
      </x:c>
      <x:c r="H55" s="158" t="str">
        <x:v>미검증 승계·잠정</x:v>
      </x:c>
      <x:c r="I55" s="158" t="str">
        <x:v>구조점수 승계: 확인된 새 근거 없이 항목별 점수를 증감하지 않음. 최근 90일 검증된 가속도 근거 부족: 중립 가정 5점(실측 아님)</x:v>
      </x:c>
      <x:c r="J55" s="158" t="str"/>
      <x:c r="K55" s="158" t="str">
        <x:v>2025-01</x:v>
      </x:c>
    </x:row>
    <x:row r="56" ht="94" customHeight="1">
      <x:c r="A56" s="158" t="str">
        <x:v>2026-09</x:v>
      </x:c>
      <x:c r="B56" s="158" t="str">
        <x:v>AVAM</x:v>
      </x:c>
      <x:c r="C56" s="158" t="n">
        <x:v>54</x:v>
      </x:c>
      <x:c r="D56" s="158" t="n">
        <x:f>IF('전체 점수표'!I56="","",'전체 점수표'!I56)</x:f>
        <x:v>47</x:v>
      </x:c>
      <x:c r="E56" s="158" t="n">
        <x:f>IF(D56="","",D56-C56)</x:f>
        <x:v>-7</x:v>
      </x:c>
      <x:c r="F56" s="158" t="str">
        <x:v>13 / 10 / 8 / 10 / 8 / 5</x:v>
      </x:c>
      <x:c r="G56" s="158" t="str">
        <x:v>12 / 9 / 7 / 10 / 5 / 4</x:v>
      </x:c>
      <x:c r="H56" s="158" t="str">
        <x:v>미검증 승계·잠정</x:v>
      </x:c>
      <x:c r="I56" s="158" t="str">
        <x:v>구조점수 승계: 확인된 새 근거 없이 항목별 점수를 증감하지 않음. 최근 90일 검증된 가속도 근거 부족: 중립 가정 5점(실측 아님)</x:v>
      </x:c>
      <x:c r="J56" s="158" t="str"/>
      <x:c r="K56" s="158" t="str">
        <x:v>2025-01</x:v>
      </x:c>
    </x:row>
    <x:row r="57" ht="94" customHeight="1">
      <x:c r="A57" s="158" t="str">
        <x:v>2026-09</x:v>
      </x:c>
      <x:c r="B57" s="158" t="str">
        <x:v>BEYOOOOONDS</x:v>
      </x:c>
      <x:c r="C57" s="158" t="n">
        <x:v>51</x:v>
      </x:c>
      <x:c r="D57" s="158" t="n">
        <x:f>IF('전체 점수표'!I57="","",'전체 점수표'!I57)</x:f>
        <x:v>47</x:v>
      </x:c>
      <x:c r="E57" s="158" t="n">
        <x:f>IF(D57="","",D57-C57)</x:f>
        <x:v>-4</x:v>
      </x:c>
      <x:c r="F57" s="158" t="str">
        <x:v>12 / 12 / 10 / 5 / 5 / 7</x:v>
      </x:c>
      <x:c r="G57" s="158" t="str">
        <x:v>11 / 11 / 9 / 5 / 5 / 6</x:v>
      </x:c>
      <x:c r="H57" s="158" t="str">
        <x:v>미검증 승계·잠정</x:v>
      </x:c>
      <x:c r="I57" s="158" t="str">
        <x:v>구조점수 승계: 확인된 새 근거 없이 항목별 점수를 증감하지 않음. 최근 90일 검증된 가속도 근거 부족: 중립 가정 5점(실측 아님)</x:v>
      </x:c>
      <x:c r="J57" s="158" t="str"/>
      <x:c r="K57" s="158" t="str">
        <x:v>2025-01</x:v>
      </x:c>
    </x:row>
    <x:row r="58" ht="94" customHeight="1">
      <x:c r="A58" s="158" t="str">
        <x:v>2026-09</x:v>
      </x:c>
      <x:c r="B58" s="158" t="str">
        <x:v>IS:SUE</x:v>
      </x:c>
      <x:c r="C58" s="158" t="n">
        <x:v>54</x:v>
      </x:c>
      <x:c r="D58" s="158" t="n">
        <x:f>IF('전체 점수표'!I58="","",'전체 점수표'!I58)</x:f>
        <x:v>47</x:v>
      </x:c>
      <x:c r="E58" s="158" t="n">
        <x:f>IF(D58="","",D58-C58)</x:f>
        <x:v>-7</x:v>
      </x:c>
      <x:c r="F58" s="158" t="str">
        <x:v>11 / 11 / 8 / 9 / 8 / 7</x:v>
      </x:c>
      <x:c r="G58" s="158" t="str">
        <x:v>10 / 10 / 7 / 9 / 5 / 6</x:v>
      </x:c>
      <x:c r="H58" s="158" t="str">
        <x:v>미검증 승계·잠정</x:v>
      </x:c>
      <x:c r="I58" s="158" t="str">
        <x:v>구조점수 승계: 확인된 새 근거 없이 항목별 점수를 증감하지 않음. 최근 90일 검증된 가속도 근거 부족: 중립 가정 5점(실측 아님)</x:v>
      </x:c>
      <x:c r="J58" s="158" t="str"/>
      <x:c r="K58" s="158" t="str">
        <x:v>2025-01</x:v>
      </x:c>
    </x:row>
    <x:row r="59" ht="94" customHeight="1">
      <x:c r="A59" s="158" t="str">
        <x:v>2026-09</x:v>
      </x:c>
      <x:c r="B59" s="158" t="str">
        <x:v>僕が見たかった青空</x:v>
      </x:c>
      <x:c r="C59" s="158" t="n">
        <x:v>53</x:v>
      </x:c>
      <x:c r="D59" s="158" t="n">
        <x:f>IF('전체 점수표'!I59="","",'전체 점수표'!I59)</x:f>
        <x:v>47</x:v>
      </x:c>
      <x:c r="E59" s="158" t="n">
        <x:f>IF(D59="","",D59-C59)</x:f>
        <x:v>-6</x:v>
      </x:c>
      <x:c r="F59" s="158" t="str">
        <x:v>12 / 12 / 8 / 7 / 7 / 7</x:v>
      </x:c>
      <x:c r="G59" s="158" t="str">
        <x:v>11 / 11 / 7 / 7 / 5 / 6</x:v>
      </x:c>
      <x:c r="H59" s="158" t="str">
        <x:v>미검증 승계·잠정</x:v>
      </x:c>
      <x:c r="I59" s="158" t="str">
        <x:v>구조점수 승계: 확인된 새 근거 없이 항목별 점수를 증감하지 않음. 최근 90일 검증된 가속도 근거 부족: 중립 가정 5점(실측 아님)</x:v>
      </x:c>
      <x:c r="J59" s="158" t="str"/>
      <x:c r="K59" s="158" t="str">
        <x:v>2025-01</x:v>
      </x:c>
    </x:row>
    <x:row r="60" ht="94" customHeight="1">
      <x:c r="A60" s="158" t="str">
        <x:v>2026-09</x:v>
      </x:c>
      <x:c r="B60" s="158" t="str">
        <x:v>NANIMONO</x:v>
      </x:c>
      <x:c r="C60" s="158" t="n">
        <x:v>53</x:v>
      </x:c>
      <x:c r="D60" s="158" t="n">
        <x:f>IF('전체 점수표'!I60="","",'전체 점수표'!I60)</x:f>
        <x:v>46</x:v>
      </x:c>
      <x:c r="E60" s="158" t="n">
        <x:f>IF(D60="","",D60-C60)</x:f>
        <x:v>-7</x:v>
      </x:c>
      <x:c r="F60" s="158" t="str">
        <x:v>14 / 11 / 7 / 8 / 8 / 5</x:v>
      </x:c>
      <x:c r="G60" s="158" t="str">
        <x:v>13 / 10 / 6 / 8 / 5 / 4</x:v>
      </x:c>
      <x:c r="H60" s="158" t="str">
        <x:v>미검증 승계·잠정</x:v>
      </x:c>
      <x:c r="I60" s="158" t="str">
        <x:v>구조점수 승계: 확인된 새 근거 없이 항목별 점수를 증감하지 않음. 최근 90일 검증된 가속도 근거 부족: 중립 가정 5점(실측 아님)</x:v>
      </x:c>
      <x:c r="J60" s="158" t="str"/>
      <x:c r="K60" s="158" t="str">
        <x:v>2025-01</x:v>
      </x:c>
    </x:row>
    <x:row r="61" ht="94" customHeight="1">
      <x:c r="A61" s="158" t="str">
        <x:v>2026-09</x:v>
      </x:c>
      <x:c r="B61" s="158" t="str">
        <x:v>タイトル未定</x:v>
      </x:c>
      <x:c r="C61" s="158" t="n">
        <x:v>53</x:v>
      </x:c>
      <x:c r="D61" s="158" t="n">
        <x:f>IF('전체 점수표'!I61="","",'전체 점수표'!I61)</x:f>
        <x:v>46</x:v>
      </x:c>
      <x:c r="E61" s="158" t="n">
        <x:f>IF(D61="","",D61-C61)</x:f>
        <x:v>-7</x:v>
      </x:c>
      <x:c r="F61" s="158" t="str">
        <x:v>15 / 11 / 7 / 7 / 8 / 5</x:v>
      </x:c>
      <x:c r="G61" s="158" t="str">
        <x:v>14 / 10 / 6 / 7 / 5 / 4</x:v>
      </x:c>
      <x:c r="H61" s="158" t="str">
        <x:v>미검증 승계·잠정</x:v>
      </x:c>
      <x:c r="I61" s="158" t="str">
        <x:v>구조점수 승계: 확인된 새 근거 없이 항목별 점수를 증감하지 않음. 최근 90일 검증된 가속도 근거 부족: 중립 가정 5점(실측 아님)</x:v>
      </x:c>
      <x:c r="J61" s="158" t="str"/>
      <x:c r="K61" s="158" t="str">
        <x:v>2025-01</x:v>
      </x:c>
    </x:row>
    <x:row r="62" ht="94" customHeight="1">
      <x:c r="A62" s="158" t="str">
        <x:v>2026-09</x:v>
      </x:c>
      <x:c r="B62" s="158" t="str">
        <x:v>のんふぃく！</x:v>
      </x:c>
      <x:c r="C62" s="158" t="n">
        <x:v>52</x:v>
      </x:c>
      <x:c r="D62" s="158" t="n">
        <x:f>IF('전체 점수표'!I62="","",'전체 점수표'!I62)</x:f>
        <x:v>46</x:v>
      </x:c>
      <x:c r="E62" s="158" t="n">
        <x:f>IF(D62="","",D62-C62)</x:f>
        <x:v>-6</x:v>
      </x:c>
      <x:c r="F62" s="158" t="str">
        <x:v>13 / 11 / 7 / 9 / 7 / 5</x:v>
      </x:c>
      <x:c r="G62" s="158" t="str">
        <x:v>12 / 10 / 6 / 9 / 5 / 4</x:v>
      </x:c>
      <x:c r="H62" s="158" t="str">
        <x:v>미검증 승계·잠정</x:v>
      </x:c>
      <x:c r="I62" s="158" t="str">
        <x:v>구조점수 승계: 확인된 새 근거 없이 항목별 점수를 증감하지 않음. 최근 90일 검증된 가속도 근거 부족: 중립 가정 5점(실측 아님)</x:v>
      </x:c>
      <x:c r="J62" s="158" t="str"/>
      <x:c r="K62" s="158" t="str">
        <x:v>2025-01</x:v>
      </x:c>
    </x:row>
    <x:row r="63" ht="94" customHeight="1">
      <x:c r="A63" s="158" t="str">
        <x:v>2026-09</x:v>
      </x:c>
      <x:c r="B63" s="158" t="str">
        <x:v>夜光性アミューズ</x:v>
      </x:c>
      <x:c r="C63" s="158" t="n">
        <x:v>51</x:v>
      </x:c>
      <x:c r="D63" s="158" t="n">
        <x:f>IF('전체 점수표'!I63="","",'전체 점수표'!I63)</x:f>
        <x:v>46</x:v>
      </x:c>
      <x:c r="E63" s="158" t="n">
        <x:f>IF(D63="","",D63-C63)</x:f>
        <x:v>-5</x:v>
      </x:c>
      <x:c r="F63" s="158" t="str">
        <x:v>13 / 10 / 8 / 9 / 6 / 5</x:v>
      </x:c>
      <x:c r="G63" s="158" t="str">
        <x:v>12 / 9 / 7 / 9 / 5 / 4</x:v>
      </x:c>
      <x:c r="H63" s="158" t="str">
        <x:v>미검증 승계·잠정</x:v>
      </x:c>
      <x:c r="I63" s="158" t="str">
        <x:v>구조점수 승계: 확인된 새 근거 없이 항목별 점수를 증감하지 않음. 최근 90일 검증된 가속도 근거 부족: 중립 가정 5점(실측 아님)</x:v>
      </x:c>
      <x:c r="J63" s="158" t="str"/>
      <x:c r="K63" s="158" t="str">
        <x:v>2025-01</x:v>
      </x:c>
    </x:row>
    <x:row r="64" ht="94" customHeight="1">
      <x:c r="A64" s="158" t="str">
        <x:v>2026-09</x:v>
      </x:c>
      <x:c r="B64" s="158" t="str">
        <x:v>CYNHN</x:v>
      </x:c>
      <x:c r="C64" s="158" t="n">
        <x:v>51</x:v>
      </x:c>
      <x:c r="D64" s="158" t="n">
        <x:f>IF('전체 점수표'!I64="","",'전체 점수표'!I64)</x:f>
        <x:v>45</x:v>
      </x:c>
      <x:c r="E64" s="158" t="n">
        <x:f>IF(D64="","",D64-C64)</x:f>
        <x:v>-6</x:v>
      </x:c>
      <x:c r="F64" s="158" t="str">
        <x:v>15 / 10 / 7 / 6 / 7 / 6</x:v>
      </x:c>
      <x:c r="G64" s="158" t="str">
        <x:v>14 / 9 / 6 / 6 / 5 / 5</x:v>
      </x:c>
      <x:c r="H64" s="158" t="str">
        <x:v>미검증 승계·잠정</x:v>
      </x:c>
      <x:c r="I64" s="158" t="str">
        <x:v>구조점수 승계: 확인된 새 근거 없이 항목별 점수를 증감하지 않음. 최근 90일 검증된 가속도 근거 부족: 중립 가정 5점(실측 아님)</x:v>
      </x:c>
      <x:c r="J64" s="158" t="str"/>
      <x:c r="K64" s="158" t="str">
        <x:v>2025-01</x:v>
      </x:c>
    </x:row>
    <x:row r="65" ht="94" customHeight="1">
      <x:c r="A65" s="158" t="str">
        <x:v>2026-09</x:v>
      </x:c>
      <x:c r="B65" s="158" t="str">
        <x:v>yosugala</x:v>
      </x:c>
      <x:c r="C65" s="158" t="n">
        <x:v>50</x:v>
      </x:c>
      <x:c r="D65" s="158" t="n">
        <x:f>IF('전체 점수표'!I65="","",'전체 점수표'!I65)</x:f>
        <x:v>45</x:v>
      </x:c>
      <x:c r="E65" s="158" t="n">
        <x:f>IF(D65="","",D65-C65)</x:f>
        <x:v>-5</x:v>
      </x:c>
      <x:c r="F65" s="158" t="str">
        <x:v>12 / 10 / 9 / 7 / 6 / 6</x:v>
      </x:c>
      <x:c r="G65" s="158" t="str">
        <x:v>11 / 9 / 8 / 7 / 5 / 5</x:v>
      </x:c>
      <x:c r="H65" s="158" t="str">
        <x:v>미검증 승계·잠정</x:v>
      </x:c>
      <x:c r="I65" s="158" t="str">
        <x:v>구조점수 승계: 확인된 새 근거 없이 항목별 점수를 증감하지 않음. 최근 90일 검증된 가속도 근거 부족: 중립 가정 5점(실측 아님)</x:v>
      </x:c>
      <x:c r="J65" s="158" t="str"/>
      <x:c r="K65" s="158" t="str">
        <x:v>2025-01</x:v>
      </x:c>
    </x:row>
    <x:row r="66" ht="94" customHeight="1">
      <x:c r="A66" s="158" t="str">
        <x:v>2026-09</x:v>
      </x:c>
      <x:c r="B66" s="158" t="str">
        <x:v>フィロソフィーのダンス</x:v>
      </x:c>
      <x:c r="C66" s="158" t="n">
        <x:v>49</x:v>
      </x:c>
      <x:c r="D66" s="158" t="n">
        <x:f>IF('전체 점수표'!I66="","",'전체 점수표'!I66)</x:f>
        <x:v>45</x:v>
      </x:c>
      <x:c r="E66" s="158" t="n">
        <x:f>IF(D66="","",D66-C66)</x:f>
        <x:v>-4</x:v>
      </x:c>
      <x:c r="F66" s="158" t="str">
        <x:v>11 / 9 / 10 / 8 / 5 / 6</x:v>
      </x:c>
      <x:c r="G66" s="158" t="str">
        <x:v>10 / 8 / 9 / 8 / 5 / 5</x:v>
      </x:c>
      <x:c r="H66" s="158" t="str">
        <x:v>미검증 승계·잠정</x:v>
      </x:c>
      <x:c r="I66" s="158" t="str">
        <x:v>구조점수 승계: 확인된 새 근거 없이 항목별 점수를 증감하지 않음. 최근 90일 검증된 가속도 근거 부족: 중립 가정 5점(실측 아님)</x:v>
      </x:c>
      <x:c r="J66" s="158" t="str"/>
      <x:c r="K66" s="158" t="str">
        <x:v>2025-01</x:v>
      </x:c>
    </x:row>
    <x:row r="67" ht="94" customHeight="1">
      <x:c r="A67" s="158" t="str">
        <x:v>2026-09</x:v>
      </x:c>
      <x:c r="B67" s="158" t="str">
        <x:v>最終未来少女</x:v>
      </x:c>
      <x:c r="C67" s="158" t="n">
        <x:v>52</x:v>
      </x:c>
      <x:c r="D67" s="158" t="n">
        <x:f>IF('전체 점수표'!I67="","",'전체 점수표'!I67)</x:f>
        <x:v>45</x:v>
      </x:c>
      <x:c r="E67" s="158" t="n">
        <x:f>IF(D67="","",D67-C67)</x:f>
        <x:v>-7</x:v>
      </x:c>
      <x:c r="F67" s="158" t="str">
        <x:v>12 / 9 / 8 / 10 / 8 / 5</x:v>
      </x:c>
      <x:c r="G67" s="158" t="str">
        <x:v>11 / 8 / 7 / 10 / 5 / 4</x:v>
      </x:c>
      <x:c r="H67" s="158" t="str">
        <x:v>미검증 승계·잠정</x:v>
      </x:c>
      <x:c r="I67" s="158" t="str">
        <x:v>구조점수 승계: 확인된 새 근거 없이 항목별 점수를 증감하지 않음. 최근 90일 검증된 가속도 근거 부족: 중립 가정 5점(실측 아님)</x:v>
      </x:c>
      <x:c r="J67" s="158" t="str"/>
      <x:c r="K67" s="158" t="str">
        <x:v>2025-01</x:v>
      </x:c>
    </x:row>
    <x:row r="68" ht="94" customHeight="1">
      <x:c r="A68" s="158" t="str">
        <x:v>2026-09</x:v>
      </x:c>
      <x:c r="B68" s="158" t="str">
        <x:v>FES☆TIVE</x:v>
      </x:c>
      <x:c r="C68" s="158" t="n">
        <x:v>48</x:v>
      </x:c>
      <x:c r="D68" s="158" t="n">
        <x:f>IF('전체 점수표'!I68="","",'전체 점수표'!I68)</x:f>
        <x:v>44</x:v>
      </x:c>
      <x:c r="E68" s="158" t="n">
        <x:f>IF(D68="","",D68-C68)</x:f>
        <x:v>-4</x:v>
      </x:c>
      <x:c r="F68" s="158" t="str">
        <x:v>12 / 10 / 8 / 7 / 5 / 6</x:v>
      </x:c>
      <x:c r="G68" s="158" t="str">
        <x:v>11 / 9 / 7 / 7 / 5 / 5</x:v>
      </x:c>
      <x:c r="H68" s="158" t="str">
        <x:v>미검증 승계·잠정</x:v>
      </x:c>
      <x:c r="I68" s="158" t="str">
        <x:v>구조점수 승계: 확인된 새 근거 없이 항목별 점수를 증감하지 않음. 최근 90일 검증된 가속도 근거 부족: 중립 가정 5점(실측 아님)</x:v>
      </x:c>
      <x:c r="J68" s="158" t="str"/>
      <x:c r="K68" s="158" t="str">
        <x:v>2025-01</x:v>
      </x:c>
    </x:row>
    <x:row r="69" ht="94" customHeight="1">
      <x:c r="A69" s="158" t="str">
        <x:v>2026-09</x:v>
      </x:c>
      <x:c r="B69" s="158" t="str">
        <x:v>iScream</x:v>
      </x:c>
      <x:c r="C69" s="158" t="n">
        <x:v>50</x:v>
      </x:c>
      <x:c r="D69" s="158" t="n">
        <x:f>IF('전체 점수표'!I69="","",'전체 점수표'!I69)</x:f>
        <x:v>44</x:v>
      </x:c>
      <x:c r="E69" s="158" t="n">
        <x:f>IF(D69="","",D69-C69)</x:f>
        <x:v>-6</x:v>
      </x:c>
      <x:c r="F69" s="158" t="str">
        <x:v>11 / 9 / 8 / 10 / 7 / 5</x:v>
      </x:c>
      <x:c r="G69" s="158" t="str">
        <x:v>10 / 8 / 7 / 10 / 5 / 4</x:v>
      </x:c>
      <x:c r="H69" s="158" t="str">
        <x:v>미검증 승계·잠정</x:v>
      </x:c>
      <x:c r="I69" s="158" t="str">
        <x:v>구조점수 승계: 확인된 새 근거 없이 항목별 점수를 증감하지 않음. 최근 90일 검증된 가속도 근거 부족: 중립 가정 5점(실측 아님)</x:v>
      </x:c>
      <x:c r="J69" s="158" t="str"/>
      <x:c r="K69" s="158" t="str">
        <x:v>2025-01</x:v>
      </x:c>
    </x:row>
    <x:row r="70" ht="94" customHeight="1">
      <x:c r="A70" s="158" t="str">
        <x:v>2026-09</x:v>
      </x:c>
      <x:c r="B70" s="158" t="str">
        <x:v>Task have Fun</x:v>
      </x:c>
      <x:c r="C70" s="158" t="n">
        <x:v>47</x:v>
      </x:c>
      <x:c r="D70" s="158" t="n">
        <x:f>IF('전체 점수표'!I70="","",'전체 점수표'!I70)</x:f>
        <x:v>44</x:v>
      </x:c>
      <x:c r="E70" s="158" t="n">
        <x:f>IF(D70="","",D70-C70)</x:f>
        <x:v>-3</x:v>
      </x:c>
      <x:c r="F70" s="158" t="str">
        <x:v>12 / 10 / 9 / 6 / 4 / 6</x:v>
      </x:c>
      <x:c r="G70" s="158" t="str">
        <x:v>11 / 9 / 8 / 6 / 5 / 5</x:v>
      </x:c>
      <x:c r="H70" s="158" t="str">
        <x:v>미검증 승계·잠정</x:v>
      </x:c>
      <x:c r="I70" s="158" t="str">
        <x:v>구조점수 승계: 확인된 새 근거 없이 항목별 점수를 증감하지 않음. 최근 90일 검증된 가속도 근거 부족: 중립 가정 5점(실측 아님)</x:v>
      </x:c>
      <x:c r="J70" s="158" t="str"/>
      <x:c r="K70" s="158" t="str">
        <x:v>2025-01</x:v>
      </x:c>
    </x:row>
    <x:row r="71" ht="94" customHeight="1">
      <x:c r="A71" s="158" t="str">
        <x:v>2026-09</x:v>
      </x:c>
      <x:c r="B71" s="158" t="str">
        <x:v>手羽先センセーション</x:v>
      </x:c>
      <x:c r="C71" s="158" t="n">
        <x:v>49</x:v>
      </x:c>
      <x:c r="D71" s="158" t="n">
        <x:f>IF('전체 점수표'!I71="","",'전체 점수표'!I71)</x:f>
        <x:v>44</x:v>
      </x:c>
      <x:c r="E71" s="158" t="n">
        <x:f>IF(D71="","",D71-C71)</x:f>
        <x:v>-5</x:v>
      </x:c>
      <x:c r="F71" s="158" t="str">
        <x:v>13 / 10 / 8 / 6 / 6 / 6</x:v>
      </x:c>
      <x:c r="G71" s="158" t="str">
        <x:v>12 / 9 / 7 / 6 / 5 / 5</x:v>
      </x:c>
      <x:c r="H71" s="158" t="str">
        <x:v>미검증 승계·잠정</x:v>
      </x:c>
      <x:c r="I71" s="158" t="str">
        <x:v>구조점수 승계: 확인된 새 근거 없이 항목별 점수를 증감하지 않음. 최근 90일 검증된 가속도 근거 부족: 중립 가정 5점(실측 아님)</x:v>
      </x:c>
      <x:c r="J71" s="158" t="str"/>
      <x:c r="K71" s="158" t="str">
        <x:v>2025-01</x:v>
      </x:c>
    </x:row>
    <x:row r="72" ht="94" customHeight="1">
      <x:c r="A72" s="158" t="str">
        <x:v>2026-09</x:v>
      </x:c>
      <x:c r="B72" s="158" t="str">
        <x:v>MyDearDarlin'</x:v>
      </x:c>
      <x:c r="C72" s="158" t="n">
        <x:v>48</x:v>
      </x:c>
      <x:c r="D72" s="158" t="n">
        <x:f>IF('전체 점수표'!I72="","",'전체 점수표'!I72)</x:f>
        <x:v>43</x:v>
      </x:c>
      <x:c r="E72" s="158" t="n">
        <x:f>IF(D72="","",D72-C72)</x:f>
        <x:v>-5</x:v>
      </x:c>
      <x:c r="F72" s="158" t="str">
        <x:v>12 / 10 / 8 / 7 / 6 / 5</x:v>
      </x:c>
      <x:c r="G72" s="158" t="str">
        <x:v>11 / 9 / 7 / 7 / 5 / 4</x:v>
      </x:c>
      <x:c r="H72" s="158" t="str">
        <x:v>미검증 승계·잠정</x:v>
      </x:c>
      <x:c r="I72" s="158" t="str">
        <x:v>구조점수 승계: 확인된 새 근거 없이 항목별 점수를 증감하지 않음. 최근 90일 검증된 가속도 근거 부족: 중립 가정 5점(실측 아님)</x:v>
      </x:c>
      <x:c r="J72" s="158" t="str"/>
      <x:c r="K72" s="158" t="str">
        <x:v>2025-01</x:v>
      </x:c>
    </x:row>
    <x:row r="73" ht="94" customHeight="1">
      <x:c r="A73" s="158" t="str">
        <x:v>2026-09</x:v>
      </x:c>
      <x:c r="B73" s="158" t="str">
        <x:v>UtaGe!</x:v>
      </x:c>
      <x:c r="C73" s="158" t="n">
        <x:v>49</x:v>
      </x:c>
      <x:c r="D73" s="158" t="n">
        <x:f>IF('전체 점수표'!I73="","",'전체 점수표'!I73)</x:f>
        <x:v>43</x:v>
      </x:c>
      <x:c r="E73" s="158" t="n">
        <x:f>IF(D73="","",D73-C73)</x:f>
        <x:v>-6</x:v>
      </x:c>
      <x:c r="F73" s="158" t="str">
        <x:v>12 / 10 / 7 / 8 / 7 / 5</x:v>
      </x:c>
      <x:c r="G73" s="158" t="str">
        <x:v>11 / 9 / 6 / 8 / 5 / 4</x:v>
      </x:c>
      <x:c r="H73" s="158" t="str">
        <x:v>미검증 승계·잠정</x:v>
      </x:c>
      <x:c r="I73" s="158" t="str">
        <x:v>구조점수 승계: 확인된 새 근거 없이 항목별 점수를 증감하지 않음. 최근 90일 검증된 가속도 근거 부족: 중립 가정 5점(실측 아님)</x:v>
      </x:c>
      <x:c r="J73" s="158" t="str"/>
      <x:c r="K73" s="158" t="str">
        <x:v>2025-01</x:v>
      </x:c>
    </x:row>
    <x:row r="74" ht="94" customHeight="1">
      <x:c r="A74" s="158" t="str">
        <x:v>2026-09</x:v>
      </x:c>
      <x:c r="B74" s="158" t="str">
        <x:v>アンスリューム</x:v>
      </x:c>
      <x:c r="C74" s="158" t="n">
        <x:v>49</x:v>
      </x:c>
      <x:c r="D74" s="158" t="n">
        <x:f>IF('전체 점수표'!I74="","",'전체 점수표'!I74)</x:f>
        <x:v>43</x:v>
      </x:c>
      <x:c r="E74" s="158" t="n">
        <x:f>IF(D74="","",D74-C74)</x:f>
        <x:v>-6</x:v>
      </x:c>
      <x:c r="F74" s="158" t="str">
        <x:v>13 / 10 / 7 / 7 / 7 / 5</x:v>
      </x:c>
      <x:c r="G74" s="158" t="str">
        <x:v>12 / 9 / 6 / 7 / 5 / 4</x:v>
      </x:c>
      <x:c r="H74" s="158" t="str">
        <x:v>미검증 승계·잠정</x:v>
      </x:c>
      <x:c r="I74" s="158" t="str">
        <x:v>구조점수 승계: 확인된 새 근거 없이 항목별 점수를 증감하지 않음. 최근 90일 검증된 가속도 근거 부족: 중립 가정 5점(실측 아님)</x:v>
      </x:c>
      <x:c r="J74" s="158" t="str"/>
      <x:c r="K74" s="158" t="str">
        <x:v>2025-01</x:v>
      </x:c>
    </x:row>
    <x:row r="75" ht="94" customHeight="1">
      <x:c r="A75" s="158" t="str">
        <x:v>2026-09</x:v>
      </x:c>
      <x:c r="B75" s="158" t="str">
        <x:v>ラフ×ラフ</x:v>
      </x:c>
      <x:c r="C75" s="158" t="n">
        <x:v>49</x:v>
      </x:c>
      <x:c r="D75" s="158" t="n">
        <x:f>IF('전체 점수표'!I75="","",'전체 점수표'!I75)</x:f>
        <x:v>43</x:v>
      </x:c>
      <x:c r="E75" s="158" t="n">
        <x:f>IF(D75="","",D75-C75)</x:f>
        <x:v>-6</x:v>
      </x:c>
      <x:c r="F75" s="158" t="str">
        <x:v>10 / 8 / 8 / 9 / 7 / 7</x:v>
      </x:c>
      <x:c r="G75" s="158" t="str">
        <x:v>9 / 7 / 7 / 9 / 5 / 6</x:v>
      </x:c>
      <x:c r="H75" s="158" t="str">
        <x:v>미검증 승계·잠정</x:v>
      </x:c>
      <x:c r="I75" s="158" t="str">
        <x:v>구조점수 승계: 확인된 새 근거 없이 항목별 점수를 증감하지 않음. 최근 90일 검증된 가속도 근거 부족: 중립 가정 5점(실측 아님)</x:v>
      </x:c>
      <x:c r="J75" s="158" t="str"/>
      <x:c r="K75" s="158" t="str">
        <x:v>2025-01</x:v>
      </x:c>
    </x:row>
    <x:row r="76" ht="94" customHeight="1">
      <x:c r="A76" s="158" t="str">
        <x:v>2026-09</x:v>
      </x:c>
      <x:c r="B76" s="158" t="str">
        <x:v>NEO JAPONISM</x:v>
      </x:c>
      <x:c r="C76" s="158" t="n">
        <x:v>45</x:v>
      </x:c>
      <x:c r="D76" s="158" t="n">
        <x:f>IF('전체 점수표'!I76="","",'전체 점수표'!I76)</x:f>
        <x:v>42</x:v>
      </x:c>
      <x:c r="E76" s="158" t="n">
        <x:f>IF(D76="","",D76-C76)</x:f>
        <x:v>-3</x:v>
      </x:c>
      <x:c r="F76" s="158" t="str">
        <x:v>12 / 10 / 8 / 6 / 4 / 5</x:v>
      </x:c>
      <x:c r="G76" s="158" t="str">
        <x:v>11 / 9 / 7 / 6 / 5 / 4</x:v>
      </x:c>
      <x:c r="H76" s="158" t="str">
        <x:v>미검증 승계·잠정</x:v>
      </x:c>
      <x:c r="I76" s="158" t="str">
        <x:v>구조점수 승계: 확인된 새 근거 없이 항목별 점수를 증감하지 않음. 최근 90일 검증된 가속도 근거 부족: 중립 가정 5점(실측 아님)</x:v>
      </x:c>
      <x:c r="J76" s="158" t="str"/>
      <x:c r="K76" s="158" t="str">
        <x:v>2025-01</x:v>
      </x:c>
    </x:row>
    <x:row r="77" ht="94" customHeight="1">
      <x:c r="A77" s="158" t="str">
        <x:v>2026-09</x:v>
      </x:c>
      <x:c r="B77" s="158" t="str">
        <x:v>衛星とカラテア</x:v>
      </x:c>
      <x:c r="C77" s="158" t="n">
        <x:v>46</x:v>
      </x:c>
      <x:c r="D77" s="158" t="n">
        <x:f>IF('전체 점수표'!I77="","",'전체 점수표'!I77)</x:f>
        <x:v>42</x:v>
      </x:c>
      <x:c r="E77" s="158" t="n">
        <x:f>IF(D77="","",D77-C77)</x:f>
        <x:v>-4</x:v>
      </x:c>
      <x:c r="F77" s="158" t="str">
        <x:v>13 / 10 / 7 / 6 / 5 / 5</x:v>
      </x:c>
      <x:c r="G77" s="158" t="str">
        <x:v>12 / 9 / 6 / 6 / 5 / 4</x:v>
      </x:c>
      <x:c r="H77" s="158" t="str">
        <x:v>미검증 승계·잠정</x:v>
      </x:c>
      <x:c r="I77" s="158" t="str">
        <x:v>구조점수 승계: 확인된 새 근거 없이 항목별 점수를 증감하지 않음. 최근 90일 검증된 가속도 근거 부족: 중립 가정 5점(실측 아님)</x:v>
      </x:c>
      <x:c r="J77" s="158" t="str"/>
      <x:c r="K77" s="158" t="str">
        <x:v>2025-01</x:v>
      </x:c>
    </x:row>
    <x:row r="78" ht="94" customHeight="1">
      <x:c r="A78" s="158" t="str">
        <x:v>2026-09</x:v>
      </x:c>
      <x:c r="B78" s="158" t="str">
        <x:v>Peel the Apple</x:v>
      </x:c>
      <x:c r="C78" s="158" t="n">
        <x:v>45</x:v>
      </x:c>
      <x:c r="D78" s="158" t="n">
        <x:f>IF('전체 점수표'!I78="","",'전체 점수표'!I78)</x:f>
        <x:v>41</x:v>
      </x:c>
      <x:c r="E78" s="158" t="n">
        <x:f>IF(D78="","",D78-C78)</x:f>
        <x:v>-4</x:v>
      </x:c>
      <x:c r="F78" s="158" t="str">
        <x:v>11 / 9 / 8 / 7 / 5 / 5</x:v>
      </x:c>
      <x:c r="G78" s="158" t="str">
        <x:v>10 / 8 / 7 / 7 / 5 / 4</x:v>
      </x:c>
      <x:c r="H78" s="158" t="str">
        <x:v>미검증 승계·잠정</x:v>
      </x:c>
      <x:c r="I78" s="158" t="str">
        <x:v>구조점수 승계: 확인된 새 근거 없이 항목별 점수를 증감하지 않음. 최근 90일 검증된 가속도 근거 부족: 중립 가정 5점(실측 아님)</x:v>
      </x:c>
      <x:c r="J78" s="158" t="str"/>
      <x:c r="K78" s="158" t="str">
        <x:v>2025-01</x:v>
      </x:c>
    </x:row>
    <x:row r="79" ht="94" customHeight="1">
      <x:c r="A79" s="158" t="str">
        <x:v>2026-09</x:v>
      </x:c>
      <x:c r="B79" s="158" t="str">
        <x:v>なみだ色の消しごむ</x:v>
      </x:c>
      <x:c r="C79" s="158" t="n">
        <x:v>47</x:v>
      </x:c>
      <x:c r="D79" s="158" t="n">
        <x:f>IF('전체 점수표'!I79="","",'전체 점수표'!I79)</x:f>
        <x:v>41</x:v>
      </x:c>
      <x:c r="E79" s="158" t="n">
        <x:f>IF(D79="","",D79-C79)</x:f>
        <x:v>-6</x:v>
      </x:c>
      <x:c r="F79" s="158" t="str">
        <x:v>11 / 9 / 7 / 8 / 7 / 5</x:v>
      </x:c>
      <x:c r="G79" s="158" t="str">
        <x:v>10 / 8 / 6 / 8 / 5 / 4</x:v>
      </x:c>
      <x:c r="H79" s="158" t="str">
        <x:v>미검증 승계·잠정</x:v>
      </x:c>
      <x:c r="I79" s="158" t="str">
        <x:v>구조점수 승계: 확인된 새 근거 없이 항목별 점수를 증감하지 않음. 최근 90일 검증된 가속도 근거 부족: 중립 가정 5점(실측 아님)</x:v>
      </x:c>
      <x:c r="J79" s="158" t="str"/>
      <x:c r="K79" s="158" t="str">
        <x:v>2025-01</x:v>
      </x:c>
    </x:row>
    <x:row r="80" ht="94" customHeight="1">
      <x:c r="A80" s="158" t="str">
        <x:v>2026-09</x:v>
      </x:c>
      <x:c r="B80" s="158" t="str">
        <x:v>#Mooove!</x:v>
      </x:c>
      <x:c r="C80" s="158" t="n">
        <x:v>46</x:v>
      </x:c>
      <x:c r="D80" s="158" t="n">
        <x:f>IF('전체 점수표'!I80="","",'전체 점수표'!I80)</x:f>
        <x:v>40</x:v>
      </x:c>
      <x:c r="E80" s="158" t="n">
        <x:f>IF(D80="","",D80-C80)</x:f>
        <x:v>-6</x:v>
      </x:c>
      <x:c r="F80" s="158" t="str">
        <x:v>8 / 8 / 8 / 10 / 7 / 5</x:v>
      </x:c>
      <x:c r="G80" s="158" t="str">
        <x:v>7 / 7 / 7 / 10 / 5 / 4</x:v>
      </x:c>
      <x:c r="H80" s="158" t="str">
        <x:v>미검증 승계·잠정</x:v>
      </x:c>
      <x:c r="I80" s="158" t="str">
        <x:v>구조점수 승계: 확인된 새 근거 없이 항목별 점수를 증감하지 않음. 최근 90일 검증된 가속도 근거 부족: 중립 가정 5점(실측 아님)</x:v>
      </x:c>
      <x:c r="J80" s="158" t="str"/>
      <x:c r="K80" s="158" t="str">
        <x:v>2025-01</x:v>
      </x:c>
    </x:row>
    <x:row r="81" ht="94" customHeight="1">
      <x:c r="A81" s="158" t="str">
        <x:v>2026-09</x:v>
      </x:c>
      <x:c r="B81" s="158" t="str">
        <x:v>LinQ</x:v>
      </x:c>
      <x:c r="C81" s="158" t="n">
        <x:v>43</x:v>
      </x:c>
      <x:c r="D81" s="158" t="n">
        <x:f>IF('전체 점수표'!I81="","",'전체 점수표'!I81)</x:f>
        <x:v>40</x:v>
      </x:c>
      <x:c r="E81" s="158" t="n">
        <x:f>IF(D81="","",D81-C81)</x:f>
        <x:v>-3</x:v>
      </x:c>
      <x:c r="F81" s="158" t="str">
        <x:v>10 / 9 / 9 / 6 / 4 / 5</x:v>
      </x:c>
      <x:c r="G81" s="158" t="str">
        <x:v>9 / 8 / 8 / 6 / 5 / 4</x:v>
      </x:c>
      <x:c r="H81" s="158" t="str">
        <x:v>미검증 승계·잠정</x:v>
      </x:c>
      <x:c r="I81" s="158" t="str">
        <x:v>구조점수 승계: 확인된 새 근거 없이 항목별 점수를 증감하지 않음. 최근 90일 검증된 가속도 근거 부족: 중립 가정 5점(실측 아님)</x:v>
      </x:c>
      <x:c r="J81" s="158" t="str"/>
      <x:c r="K81" s="158" t="str">
        <x:v>2025-01</x:v>
      </x:c>
    </x:row>
    <x:row r="82" ht="94" customHeight="1">
      <x:c r="A82" s="158" t="str">
        <x:v>2026-09</x:v>
      </x:c>
      <x:c r="B82" s="158" t="str">
        <x:v>#よーよーよー</x:v>
      </x:c>
      <x:c r="C82" s="158" t="n">
        <x:v>42</x:v>
      </x:c>
      <x:c r="D82" s="158" t="n">
        <x:f>IF('전체 점수표'!I82="","",'전체 점수표'!I82)</x:f>
        <x:v>39</x:v>
      </x:c>
      <x:c r="E82" s="158" t="n">
        <x:f>IF(D82="","",D82-C82)</x:f>
        <x:v>-3</x:v>
      </x:c>
      <x:c r="F82" s="158" t="str">
        <x:v>8 / 8 / 8 / 10 / 4 / 4</x:v>
      </x:c>
      <x:c r="G82" s="158" t="str">
        <x:v>7 / 7 / 7 / 10 / 5 / 3</x:v>
      </x:c>
      <x:c r="H82" s="158" t="str">
        <x:v>미검증 승계·잠정</x:v>
      </x:c>
      <x:c r="I82" s="158" t="str">
        <x:v>구조점수 승계: 확인된 새 근거 없이 항목별 점수를 증감하지 않음. 최근 90일 검증된 가속도 근거 부족: 중립 가정 5점(실측 아님)</x:v>
      </x:c>
      <x:c r="J82" s="158" t="str"/>
      <x:c r="K82" s="158" t="str">
        <x:v>2025-01</x:v>
      </x:c>
    </x:row>
    <x:row r="83" ht="94" customHeight="1">
      <x:c r="A83" s="158" t="str">
        <x:v>2026-09</x:v>
      </x:c>
      <x:c r="B83" s="158" t="str">
        <x:v>GILTY x GILTY</x:v>
      </x:c>
      <x:c r="C83" s="158" t="n">
        <x:v>44</x:v>
      </x:c>
      <x:c r="D83" s="158" t="n">
        <x:f>IF('전체 점수표'!I83="","",'전체 점수표'!I83)</x:f>
        <x:v>39</x:v>
      </x:c>
      <x:c r="E83" s="158" t="n">
        <x:f>IF(D83="","",D83-C83)</x:f>
        <x:v>-5</x:v>
      </x:c>
      <x:c r="F83" s="158" t="str">
        <x:v>12 / 9 / 6 / 7 / 6 / 4</x:v>
      </x:c>
      <x:c r="G83" s="158" t="str">
        <x:v>11 / 8 / 5 / 7 / 5 / 3</x:v>
      </x:c>
      <x:c r="H83" s="158" t="str">
        <x:v>미검증 승계·잠정</x:v>
      </x:c>
      <x:c r="I83" s="158" t="str">
        <x:v>구조점수 승계: 확인된 새 근거 없이 항목별 점수를 증감하지 않음. 최근 90일 검증된 가속도 근거 부족: 중립 가정 5점(실측 아님)</x:v>
      </x:c>
      <x:c r="J83" s="158" t="str"/>
      <x:c r="K83" s="158" t="str">
        <x:v>2025-01</x:v>
      </x:c>
    </x:row>
    <x:row r="84" ht="94" customHeight="1">
      <x:c r="A84" s="158" t="str">
        <x:v>2026-09</x:v>
      </x:c>
      <x:c r="B84" s="158" t="str">
        <x:v>KiSS KiSS</x:v>
      </x:c>
      <x:c r="C84" s="158" t="n">
        <x:v>43</x:v>
      </x:c>
      <x:c r="D84" s="158" t="n">
        <x:f>IF('전체 점수표'!I84="","",'전체 점수표'!I84)</x:f>
        <x:v>39</x:v>
      </x:c>
      <x:c r="E84" s="158" t="n">
        <x:f>IF(D84="","",D84-C84)</x:f>
        <x:v>-4</x:v>
      </x:c>
      <x:c r="F84" s="158" t="str">
        <x:v>11 / 9 / 7 / 6 / 5 / 5</x:v>
      </x:c>
      <x:c r="G84" s="158" t="str">
        <x:v>10 / 8 / 6 / 6 / 5 / 4</x:v>
      </x:c>
      <x:c r="H84" s="158" t="str">
        <x:v>미검증 승계·잠정</x:v>
      </x:c>
      <x:c r="I84" s="158" t="str">
        <x:v>구조점수 승계: 확인된 새 근거 없이 항목별 점수를 증감하지 않음. 최근 90일 검증된 가속도 근거 부족: 중립 가정 5점(실측 아님)</x:v>
      </x:c>
      <x:c r="J84" s="158" t="str"/>
      <x:c r="K84" s="158" t="str">
        <x:v>2025-01</x:v>
      </x:c>
    </x:row>
    <x:row r="85" ht="94" customHeight="1">
      <x:c r="A85" s="158" t="str">
        <x:v>2026-09</x:v>
      </x:c>
      <x:c r="B85" s="158" t="str">
        <x:v>Rain Tree</x:v>
      </x:c>
      <x:c r="C85" s="158" t="n">
        <x:v>59</x:v>
      </x:c>
      <x:c r="D85" s="158" t="n">
        <x:f>IF('전체 점수표'!I85="","",'전체 점수표'!I85)</x:f>
        <x:v>39</x:v>
      </x:c>
      <x:c r="E85" s="158" t="n">
        <x:f>IF(D85="","",D85-C85)</x:f>
        <x:v>-20</x:v>
      </x:c>
      <x:c r="F85" s="158" t="str">
        <x:v>15 / 11 / 8 / 8 / 9 / 8</x:v>
      </x:c>
      <x:c r="G85" s="158" t="str">
        <x:v>12 / 8 / 5 / 5 / 5 / 4</x:v>
      </x:c>
      <x:c r="H85" s="158" t="str">
        <x:v>미검증 승계·잠정</x:v>
      </x:c>
      <x:c r="I85" s="158" t="str">
        <x:v>구조점수 승계: 확인된 새 근거 없이 항목별 점수를 증감하지 않음. 최근 90일 검증된 가속도 근거 부족: 중립 가정 5점(실측 아님)</x:v>
      </x:c>
      <x:c r="J85" s="158" t="str"/>
      <x:c r="K85" s="158" t="str">
        <x:v>2025-01</x:v>
      </x:c>
    </x:row>
    <x:row r="86" ht="94" customHeight="1">
      <x:c r="A86" s="158" t="str">
        <x:v>2026-09</x:v>
      </x:c>
      <x:c r="B86" s="158" t="str">
        <x:v>TENRIN</x:v>
      </x:c>
      <x:c r="C86" s="158" t="n">
        <x:v>43</x:v>
      </x:c>
      <x:c r="D86" s="158" t="n">
        <x:f>IF('전체 점수표'!I86="","",'전체 점수표'!I86)</x:f>
        <x:v>39</x:v>
      </x:c>
      <x:c r="E86" s="158" t="n">
        <x:f>IF(D86="","",D86-C86)</x:f>
        <x:v>-4</x:v>
      </x:c>
      <x:c r="F86" s="158" t="str">
        <x:v>12 / 8 / 6 / 7 / 5 / 5</x:v>
      </x:c>
      <x:c r="G86" s="158" t="str">
        <x:v>11 / 7 / 5 / 7 / 5 / 4</x:v>
      </x:c>
      <x:c r="H86" s="158" t="str">
        <x:v>미검증 승계·잠정</x:v>
      </x:c>
      <x:c r="I86" s="158" t="str">
        <x:v>구조점수 승계: 확인된 새 근거 없이 항목별 점수를 증감하지 않음. 최근 90일 검증된 가속도 근거 부족: 중립 가정 5점(실측 아님)</x:v>
      </x:c>
      <x:c r="J86" s="158" t="str"/>
      <x:c r="K86" s="158" t="str">
        <x:v>2025-01</x:v>
      </x:c>
    </x:row>
    <x:row r="87" ht="94" customHeight="1">
      <x:c r="A87" s="158" t="str">
        <x:v>2026-09</x:v>
      </x:c>
      <x:c r="B87" s="158" t="str">
        <x:v>THE ORCHESTRA TOKYO</x:v>
      </x:c>
      <x:c r="C87" s="158" t="n">
        <x:v>44</x:v>
      </x:c>
      <x:c r="D87" s="158" t="n">
        <x:f>IF('전체 점수표'!I87="","",'전체 점수표'!I87)</x:f>
        <x:v>39</x:v>
      </x:c>
      <x:c r="E87" s="158" t="n">
        <x:f>IF(D87="","",D87-C87)</x:f>
        <x:v>-5</x:v>
      </x:c>
      <x:c r="F87" s="158" t="str">
        <x:v>12 / 9 / 6 / 6 / 6 / 5</x:v>
      </x:c>
      <x:c r="G87" s="158" t="str">
        <x:v>11 / 8 / 5 / 6 / 5 / 4</x:v>
      </x:c>
      <x:c r="H87" s="158" t="str">
        <x:v>미검증 승계·잠정</x:v>
      </x:c>
      <x:c r="I87" s="158" t="str">
        <x:v>구조점수 승계: 확인된 새 근거 없이 항목별 점수를 증감하지 않음. 최근 90일 검증된 가속도 근거 부족: 중립 가정 5점(실측 아님)</x:v>
      </x:c>
      <x:c r="J87" s="158" t="str"/>
      <x:c r="K87" s="158" t="str">
        <x:v>2025-01</x:v>
      </x:c>
    </x:row>
    <x:row r="88" ht="94" customHeight="1">
      <x:c r="A88" s="158" t="str">
        <x:v>2026-09</x:v>
      </x:c>
      <x:c r="B88" s="158" t="str">
        <x:v>アップアップガールズ（仮）</x:v>
      </x:c>
      <x:c r="C88" s="158" t="n">
        <x:v>41</x:v>
      </x:c>
      <x:c r="D88" s="158" t="n">
        <x:f>IF('전체 점수표'!I88="","",'전체 점수표'!I88)</x:f>
        <x:v>39</x:v>
      </x:c>
      <x:c r="E88" s="158" t="n">
        <x:f>IF(D88="","",D88-C88)</x:f>
        <x:v>-2</x:v>
      </x:c>
      <x:c r="F88" s="158" t="str">
        <x:v>11 / 8 / 9 / 5 / 3 / 5</x:v>
      </x:c>
      <x:c r="G88" s="158" t="str">
        <x:v>10 / 7 / 8 / 5 / 5 / 4</x:v>
      </x:c>
      <x:c r="H88" s="158" t="str">
        <x:v>미검증 승계·잠정</x:v>
      </x:c>
      <x:c r="I88" s="158" t="str">
        <x:v>구조점수 승계: 확인된 새 근거 없이 항목별 점수를 증감하지 않음. 최근 90일 검증된 가속도 근거 부족: 중립 가정 5점(실측 아님)</x:v>
      </x:c>
      <x:c r="J88" s="158" t="str"/>
      <x:c r="K88" s="158" t="str">
        <x:v>2025-01</x:v>
      </x:c>
    </x:row>
    <x:row r="89" ht="94" customHeight="1">
      <x:c r="A89" s="158" t="str">
        <x:v>2026-09</x:v>
      </x:c>
      <x:c r="B89" s="158" t="str">
        <x:v>ドラマチックレコード</x:v>
      </x:c>
      <x:c r="C89" s="158" t="n">
        <x:v>45</x:v>
      </x:c>
      <x:c r="D89" s="158" t="n">
        <x:f>IF('전체 점수표'!I89="","",'전체 점수표'!I89)</x:f>
        <x:v>39</x:v>
      </x:c>
      <x:c r="E89" s="158" t="n">
        <x:f>IF(D89="","",D89-C89)</x:f>
        <x:v>-6</x:v>
      </x:c>
      <x:c r="F89" s="158" t="str">
        <x:v>11 / 9 / 7 / 7 / 7 / 4</x:v>
      </x:c>
      <x:c r="G89" s="158" t="str">
        <x:v>10 / 8 / 6 / 7 / 5 / 3</x:v>
      </x:c>
      <x:c r="H89" s="158" t="str">
        <x:v>미검증 승계·잠정</x:v>
      </x:c>
      <x:c r="I89" s="158" t="str">
        <x:v>구조점수 승계: 확인된 새 근거 없이 항목별 점수를 증감하지 않음. 최근 90일 검증된 가속도 근거 부족: 중립 가정 5점(실측 아님)</x:v>
      </x:c>
      <x:c r="J89" s="158" t="str"/>
      <x:c r="K89" s="158" t="str">
        <x:v>2025-01</x:v>
      </x:c>
    </x:row>
    <x:row r="90" ht="94" customHeight="1">
      <x:c r="A90" s="158" t="str">
        <x:v>2026-09</x:v>
      </x:c>
      <x:c r="B90" s="158" t="str">
        <x:v>純情のアフィリア</x:v>
      </x:c>
      <x:c r="C90" s="158" t="n">
        <x:v>42</x:v>
      </x:c>
      <x:c r="D90" s="158" t="n">
        <x:f>IF('전체 점수표'!I90="","",'전체 점수표'!I90)</x:f>
        <x:v>39</x:v>
      </x:c>
      <x:c r="E90" s="158" t="n">
        <x:f>IF(D90="","",D90-C90)</x:f>
        <x:v>-3</x:v>
      </x:c>
      <x:c r="F90" s="158" t="str">
        <x:v>10 / 8 / 9 / 6 / 4 / 5</x:v>
      </x:c>
      <x:c r="G90" s="158" t="str">
        <x:v>9 / 7 / 8 / 6 / 5 / 4</x:v>
      </x:c>
      <x:c r="H90" s="158" t="str">
        <x:v>미검증 승계·잠정</x:v>
      </x:c>
      <x:c r="I90" s="158" t="str">
        <x:v>구조점수 승계: 확인된 새 근거 없이 항목별 점수를 증감하지 않음. 최근 90일 검증된 가속도 근거 부족: 중립 가정 5점(실측 아님)</x:v>
      </x:c>
      <x:c r="J90" s="158" t="str"/>
      <x:c r="K90" s="158" t="str">
        <x:v>2025-01</x:v>
      </x:c>
    </x:row>
    <x:row r="91" ht="94" customHeight="1">
      <x:c r="A91" s="158" t="str">
        <x:v>2026-09</x:v>
      </x:c>
      <x:c r="B91" s="158" t="str">
        <x:v>AsIs</x:v>
      </x:c>
      <x:c r="C91" s="158" t="n">
        <x:v>46</x:v>
      </x:c>
      <x:c r="D91" s="158" t="n">
        <x:f>IF('전체 점수표'!I91="","",'전체 점수표'!I91)</x:f>
        <x:v>38</x:v>
      </x:c>
      <x:c r="E91" s="158" t="n">
        <x:f>IF(D91="","",D91-C91)</x:f>
        <x:v>-8</x:v>
      </x:c>
      <x:c r="F91" s="158" t="str">
        <x:v>10 / 8 / 6 / 8 / 9 / 5</x:v>
      </x:c>
      <x:c r="G91" s="158" t="str">
        <x:v>9 / 7 / 5 / 8 / 5 / 4</x:v>
      </x:c>
      <x:c r="H91" s="158" t="str">
        <x:v>미검증 승계·잠정</x:v>
      </x:c>
      <x:c r="I91" s="158" t="str">
        <x:v>구조점수 승계: 확인된 새 근거 없이 항목별 점수를 증감하지 않음. 최근 90일 검증된 가속도 근거 부족: 중립 가정 5점(실측 아님)</x:v>
      </x:c>
      <x:c r="J91" s="158" t="str"/>
      <x:c r="K91" s="158" t="str">
        <x:v>2025-01</x:v>
      </x:c>
    </x:row>
    <x:row r="92" ht="94" customHeight="1">
      <x:c r="A92" s="158" t="str">
        <x:v>2026-09</x:v>
      </x:c>
      <x:c r="B92" s="158" t="str">
        <x:v>fav me</x:v>
      </x:c>
      <x:c r="C92" s="158" t="n">
        <x:v>54</x:v>
      </x:c>
      <x:c r="D92" s="158" t="n">
        <x:f>IF('전체 점수표'!I92="","",'전체 점수표'!I92)</x:f>
        <x:v>38</x:v>
      </x:c>
      <x:c r="E92" s="158" t="n">
        <x:f>IF(D92="","",D92-C92)</x:f>
        <x:v>-16</x:v>
      </x:c>
      <x:c r="F92" s="158" t="str">
        <x:v>11 / 9 / 8 / 10 / 9 / 7</x:v>
      </x:c>
      <x:c r="G92" s="158" t="str">
        <x:v>9 / 7 / 5 / 8 / 5 / 4</x:v>
      </x:c>
      <x:c r="H92" s="158" t="str">
        <x:v>미검증 승계·잠정</x:v>
      </x:c>
      <x:c r="I92" s="158" t="str">
        <x:v>구조점수 승계: 확인된 새 근거 없이 항목별 점수를 증감하지 않음. 최근 90일 검증된 가속도 근거 부족: 중립 가정 5점(실측 아님)</x:v>
      </x:c>
      <x:c r="J92" s="158" t="str"/>
      <x:c r="K92" s="158" t="str">
        <x:v>2025-04</x:v>
      </x:c>
    </x:row>
    <x:row r="93" ht="94" customHeight="1">
      <x:c r="A93" s="158" t="str">
        <x:v>2026-09</x:v>
      </x:c>
      <x:c r="B93" s="158" t="str">
        <x:v>ジエメイ</x:v>
      </x:c>
      <x:c r="C93" s="158" t="n">
        <x:v>42</x:v>
      </x:c>
      <x:c r="D93" s="158" t="n">
        <x:f>IF('전체 점수표'!I93="","",'전체 점수표'!I93)</x:f>
        <x:v>38</x:v>
      </x:c>
      <x:c r="E93" s="158" t="n">
        <x:f>IF(D93="","",D93-C93)</x:f>
        <x:v>-4</x:v>
      </x:c>
      <x:c r="F93" s="158" t="str">
        <x:v>12 / 9 / 6 / 6 / 5 / 4</x:v>
      </x:c>
      <x:c r="G93" s="158" t="str">
        <x:v>11 / 8 / 5 / 6 / 5 / 3</x:v>
      </x:c>
      <x:c r="H93" s="158" t="str">
        <x:v>미검증 승계·잠정</x:v>
      </x:c>
      <x:c r="I93" s="158" t="str">
        <x:v>구조점수 승계: 확인된 새 근거 없이 항목별 점수를 증감하지 않음. 최근 90일 검증된 가속도 근거 부족: 중립 가정 5점(실측 아님)</x:v>
      </x:c>
      <x:c r="J93" s="158" t="str"/>
      <x:c r="K93" s="158" t="str">
        <x:v>2025-01</x:v>
      </x:c>
    </x:row>
    <x:row r="94" ht="94" customHeight="1">
      <x:c r="A94" s="158" t="str">
        <x:v>2026-09</x:v>
      </x:c>
      <x:c r="B94" s="158" t="str">
        <x:v>マジカル・パンチライン</x:v>
      </x:c>
      <x:c r="C94" s="158" t="n">
        <x:v>40</x:v>
      </x:c>
      <x:c r="D94" s="158" t="n">
        <x:f>IF('전체 점수표'!I94="","",'전체 점수표'!I94)</x:f>
        <x:v>38</x:v>
      </x:c>
      <x:c r="E94" s="158" t="n">
        <x:f>IF(D94="","",D94-C94)</x:f>
        <x:v>-2</x:v>
      </x:c>
      <x:c r="F94" s="158" t="str">
        <x:v>9 / 8 / 8 / 7 / 3 / 5</x:v>
      </x:c>
      <x:c r="G94" s="158" t="str">
        <x:v>8 / 7 / 7 / 7 / 5 / 4</x:v>
      </x:c>
      <x:c r="H94" s="158" t="str">
        <x:v>미검증 승계·잠정</x:v>
      </x:c>
      <x:c r="I94" s="158" t="str">
        <x:v>구조점수 승계: 확인된 새 근거 없이 항목별 점수를 증감하지 않음. 최근 90일 검증된 가속도 근거 부족: 중립 가정 5점(실측 아님)</x:v>
      </x:c>
      <x:c r="J94" s="158" t="str"/>
      <x:c r="K94" s="158" t="str">
        <x:v>2025-01</x:v>
      </x:c>
    </x:row>
    <x:row r="95" ht="94" customHeight="1">
      <x:c r="A95" s="158" t="str">
        <x:v>2026-09</x:v>
      </x:c>
      <x:c r="B95" s="158" t="str">
        <x:v>二丁目の魁カミングアウト</x:v>
      </x:c>
      <x:c r="C95" s="158" t="n">
        <x:v>41</x:v>
      </x:c>
      <x:c r="D95" s="158" t="n">
        <x:f>IF('전체 점수표'!I95="","",'전체 점수표'!I95)</x:f>
        <x:v>38</x:v>
      </x:c>
      <x:c r="E95" s="158" t="n">
        <x:f>IF(D95="","",D95-C95)</x:f>
        <x:v>-3</x:v>
      </x:c>
      <x:c r="F95" s="158" t="str">
        <x:v>11 / 9 / 7 / 5 / 4 / 5</x:v>
      </x:c>
      <x:c r="G95" s="158" t="str">
        <x:v>10 / 8 / 6 / 5 / 5 / 4</x:v>
      </x:c>
      <x:c r="H95" s="158" t="str">
        <x:v>미검증 승계·잠정</x:v>
      </x:c>
      <x:c r="I95" s="158" t="str">
        <x:v>구조점수 승계: 확인된 새 근거 없이 항목별 점수를 증감하지 않음. 최근 90일 검증된 가속도 근거 부족: 중립 가정 5점(실측 아님)</x:v>
      </x:c>
      <x:c r="J95" s="158" t="str"/>
      <x:c r="K95" s="158" t="str">
        <x:v>2025-01</x:v>
      </x:c>
    </x:row>
    <x:row r="96" ht="94" customHeight="1">
      <x:c r="A96" s="158" t="str">
        <x:v>2026-09</x:v>
      </x:c>
      <x:c r="B96" s="158" t="str">
        <x:v>STAiNY</x:v>
      </x:c>
      <x:c r="C96" s="158" t="n">
        <x:v>42</x:v>
      </x:c>
      <x:c r="D96" s="158" t="n">
        <x:f>IF('전체 점수표'!I96="","",'전체 점수표'!I96)</x:f>
        <x:v>37</x:v>
      </x:c>
      <x:c r="E96" s="158" t="n">
        <x:f>IF(D96="","",D96-C96)</x:f>
        <x:v>-5</x:v>
      </x:c>
      <x:c r="F96" s="158" t="str">
        <x:v>10 / 8 / 6 / 7 / 6 / 5</x:v>
      </x:c>
      <x:c r="G96" s="158" t="str">
        <x:v>9 / 7 / 5 / 7 / 5 / 4</x:v>
      </x:c>
      <x:c r="H96" s="158" t="str">
        <x:v>미검증 승계·잠정</x:v>
      </x:c>
      <x:c r="I96" s="158" t="str">
        <x:v>구조점수 승계: 확인된 새 근거 없이 항목별 점수를 증감하지 않음. 최근 90일 검증된 가속도 근거 부족: 중립 가정 5점(실측 아님)</x:v>
      </x:c>
      <x:c r="J96" s="158" t="str"/>
      <x:c r="K96" s="158" t="str">
        <x:v>2025-01</x:v>
      </x:c>
    </x:row>
    <x:row r="97" ht="94" customHeight="1">
      <x:c r="A97" s="158" t="str">
        <x:v>2026-09</x:v>
      </x:c>
      <x:c r="B97" s="158" t="str">
        <x:v>THE ENCORE</x:v>
      </x:c>
      <x:c r="C97" s="158" t="n">
        <x:v>42</x:v>
      </x:c>
      <x:c r="D97" s="158" t="n">
        <x:f>IF('전체 점수표'!I97="","",'전체 점수표'!I97)</x:f>
        <x:v>37</x:v>
      </x:c>
      <x:c r="E97" s="158" t="n">
        <x:f>IF(D97="","",D97-C97)</x:f>
        <x:v>-5</x:v>
      </x:c>
      <x:c r="F97" s="158" t="str">
        <x:v>11 / 8 / 6 / 7 / 6 / 4</x:v>
      </x:c>
      <x:c r="G97" s="158" t="str">
        <x:v>10 / 7 / 5 / 7 / 5 / 3</x:v>
      </x:c>
      <x:c r="H97" s="158" t="str">
        <x:v>미검증 승계·잠정</x:v>
      </x:c>
      <x:c r="I97" s="158" t="str">
        <x:v>구조점수 승계: 확인된 새 근거 없이 항목별 점수를 증감하지 않음. 최근 90일 검증된 가속도 근거 부족: 중립 가정 5점(실측 아님)</x:v>
      </x:c>
      <x:c r="J97" s="158" t="str"/>
      <x:c r="K97" s="158" t="str">
        <x:v>2025-01</x:v>
      </x:c>
    </x:row>
    <x:row r="98" ht="94" customHeight="1">
      <x:c r="A98" s="158" t="str">
        <x:v>2026-09</x:v>
      </x:c>
      <x:c r="B98" s="158" t="str">
        <x:v>クマリデパート</x:v>
      </x:c>
      <x:c r="C98" s="158" t="n">
        <x:v>40</x:v>
      </x:c>
      <x:c r="D98" s="158" t="n">
        <x:f>IF('전체 점수표'!I98="","",'전체 점수표'!I98)</x:f>
        <x:v>37</x:v>
      </x:c>
      <x:c r="E98" s="158" t="n">
        <x:f>IF(D98="","",D98-C98)</x:f>
        <x:v>-3</x:v>
      </x:c>
      <x:c r="F98" s="158" t="str">
        <x:v>10 / 8 / 7 / 6 / 4 / 5</x:v>
      </x:c>
      <x:c r="G98" s="158" t="str">
        <x:v>9 / 7 / 6 / 6 / 5 / 4</x:v>
      </x:c>
      <x:c r="H98" s="158" t="str">
        <x:v>미검증 승계·잠정</x:v>
      </x:c>
      <x:c r="I98" s="158" t="str">
        <x:v>구조점수 승계: 확인된 새 근거 없이 항목별 점수를 증감하지 않음. 최근 90일 검증된 가속도 근거 부족: 중립 가정 5점(실측 아님)</x:v>
      </x:c>
      <x:c r="J98" s="158" t="str"/>
      <x:c r="K98" s="158" t="str">
        <x:v>2025-01</x:v>
      </x:c>
    </x:row>
    <x:row r="99" ht="94" customHeight="1">
      <x:c r="A99" s="158" t="str">
        <x:v>2026-09</x:v>
      </x:c>
      <x:c r="B99" s="158" t="str">
        <x:v>chuLa</x:v>
      </x:c>
      <x:c r="C99" s="158" t="n">
        <x:v>40</x:v>
      </x:c>
      <x:c r="D99" s="158" t="n">
        <x:f>IF('전체 점수표'!I99="","",'전체 점수표'!I99)</x:f>
        <x:v>36</x:v>
      </x:c>
      <x:c r="E99" s="158" t="n">
        <x:f>IF(D99="","",D99-C99)</x:f>
        <x:v>-4</x:v>
      </x:c>
      <x:c r="F99" s="158" t="str">
        <x:v>10 / 8 / 6 / 7 / 5 / 4</x:v>
      </x:c>
      <x:c r="G99" s="158" t="str">
        <x:v>9 / 7 / 5 / 7 / 5 / 3</x:v>
      </x:c>
      <x:c r="H99" s="158" t="str">
        <x:v>미검증 승계·잠정</x:v>
      </x:c>
      <x:c r="I99" s="158" t="str">
        <x:v>구조점수 승계: 확인된 새 근거 없이 항목별 점수를 증감하지 않음. 최근 90일 검증된 가속도 근거 부족: 중립 가정 5점(실측 아님)</x:v>
      </x:c>
      <x:c r="J99" s="158" t="str"/>
      <x:c r="K99" s="158" t="str">
        <x:v>2025-01</x:v>
      </x:c>
    </x:row>
    <x:row r="100" ht="94" customHeight="1">
      <x:c r="A100" s="158" t="str">
        <x:v>2026-09</x:v>
      </x:c>
      <x:c r="B100" s="158" t="str">
        <x:v>CiON</x:v>
      </x:c>
      <x:c r="C100" s="158" t="n">
        <x:v>40</x:v>
      </x:c>
      <x:c r="D100" s="158" t="n">
        <x:f>IF('전체 점수표'!I100="","",'전체 점수표'!I100)</x:f>
        <x:v>36</x:v>
      </x:c>
      <x:c r="E100" s="158" t="n">
        <x:f>IF(D100="","",D100-C100)</x:f>
        <x:v>-4</x:v>
      </x:c>
      <x:c r="F100" s="158" t="str">
        <x:v>10 / 8 / 6 / 6 / 5 / 5</x:v>
      </x:c>
      <x:c r="G100" s="158" t="str">
        <x:v>9 / 7 / 5 / 6 / 5 / 4</x:v>
      </x:c>
      <x:c r="H100" s="158" t="str">
        <x:v>미검증 승계·잠정</x:v>
      </x:c>
      <x:c r="I100" s="158" t="str">
        <x:v>구조점수 승계: 확인된 새 근거 없이 항목별 점수를 증감하지 않음. 최근 90일 검증된 가속도 근거 부족: 중립 가정 5점(실측 아님)</x:v>
      </x:c>
      <x:c r="J100" s="158" t="str"/>
      <x:c r="K100" s="158" t="str">
        <x:v>2025-01</x:v>
      </x:c>
    </x:row>
    <x:row r="101" ht="94" customHeight="1">
      <x:c r="A101" s="158" t="str">
        <x:v>2026-09</x:v>
      </x:c>
      <x:c r="B101" s="158" t="str">
        <x:v>fishbowl</x:v>
      </x:c>
      <x:c r="C101" s="158" t="n">
        <x:v>39</x:v>
      </x:c>
      <x:c r="D101" s="158" t="n">
        <x:f>IF('전체 점수표'!I101="","",'전체 점수표'!I101)</x:f>
        <x:v>36</x:v>
      </x:c>
      <x:c r="E101" s="158" t="n">
        <x:f>IF(D101="","",D101-C101)</x:f>
        <x:v>-3</x:v>
      </x:c>
      <x:c r="F101" s="158" t="str">
        <x:v>9 / 8 / 7 / 6 / 4 / 5</x:v>
      </x:c>
      <x:c r="G101" s="158" t="str">
        <x:v>8 / 7 / 6 / 6 / 5 / 4</x:v>
      </x:c>
      <x:c r="H101" s="158" t="str">
        <x:v>미검증 승계·잠정</x:v>
      </x:c>
      <x:c r="I101" s="158" t="str">
        <x:v>구조점수 승계: 확인된 새 근거 없이 항목별 점수를 증감하지 않음. 최근 90일 검증된 가속도 근거 부족: 중립 가정 5점(실측 아님)</x:v>
      </x:c>
      <x:c r="J101" s="158" t="str"/>
      <x:c r="K101" s="158" t="str">
        <x:v>2025-01</x:v>
      </x:c>
    </x:row>
    <x:row r="102" ht="94" customHeight="1">
      <x:c r="A102" s="158" t="str">
        <x:v>2026-09</x:v>
      </x:c>
      <x:c r="B102" s="158" t="str">
        <x:v>PIGGS</x:v>
      </x:c>
      <x:c r="C102" s="158" t="n">
        <x:v>39</x:v>
      </x:c>
      <x:c r="D102" s="158" t="n">
        <x:f>IF('전체 점수표'!I102="","",'전체 점수표'!I102)</x:f>
        <x:v>36</x:v>
      </x:c>
      <x:c r="E102" s="158" t="n">
        <x:f>IF(D102="","",D102-C102)</x:f>
        <x:v>-3</x:v>
      </x:c>
      <x:c r="F102" s="158" t="str">
        <x:v>10 / 8 / 7 / 6 / 4 / 4</x:v>
      </x:c>
      <x:c r="G102" s="158" t="str">
        <x:v>9 / 7 / 6 / 6 / 5 / 3</x:v>
      </x:c>
      <x:c r="H102" s="158" t="str">
        <x:v>미검증 승계·잠정</x:v>
      </x:c>
      <x:c r="I102" s="158" t="str">
        <x:v>구조점수 승계: 확인된 새 근거 없이 항목별 점수를 증감하지 않음. 최근 90일 검증된 가속도 근거 부족: 중립 가정 5점(실측 아님)</x:v>
      </x:c>
      <x:c r="J102" s="158" t="str"/>
      <x:c r="K102" s="158" t="str">
        <x:v>2025-01</x:v>
      </x:c>
    </x:row>
    <x:row r="103" ht="94" customHeight="1">
      <x:c r="A103" s="158" t="str">
        <x:v>2026-09</x:v>
      </x:c>
      <x:c r="B103" s="158" t="str">
        <x:v>SITUASION</x:v>
      </x:c>
      <x:c r="C103" s="158" t="n">
        <x:v>41</x:v>
      </x:c>
      <x:c r="D103" s="158" t="n">
        <x:f>IF('전체 점수표'!I103="","",'전체 점수표'!I103)</x:f>
        <x:v>36</x:v>
      </x:c>
      <x:c r="E103" s="158" t="n">
        <x:f>IF(D103="","",D103-C103)</x:f>
        <x:v>-5</x:v>
      </x:c>
      <x:c r="F103" s="158" t="str">
        <x:v>11 / 8 / 6 / 6 / 6 / 4</x:v>
      </x:c>
      <x:c r="G103" s="158" t="str">
        <x:v>10 / 7 / 5 / 6 / 5 / 3</x:v>
      </x:c>
      <x:c r="H103" s="158" t="str">
        <x:v>미검증 승계·잠정</x:v>
      </x:c>
      <x:c r="I103" s="158" t="str">
        <x:v>구조점수 승계: 확인된 새 근거 없이 항목별 점수를 증감하지 않음. 최근 90일 검증된 가속도 근거 부족: 중립 가정 5점(실측 아님)</x:v>
      </x:c>
      <x:c r="J103" s="158" t="str"/>
      <x:c r="K103" s="158" t="str">
        <x:v>2025-01</x:v>
      </x:c>
    </x:row>
    <x:row r="104" ht="94" customHeight="1">
      <x:c r="A104" s="158" t="str">
        <x:v>2026-09</x:v>
      </x:c>
      <x:c r="B104" s="158" t="str">
        <x:v>Sweet Alley</x:v>
      </x:c>
      <x:c r="C104" s="158" t="n">
        <x:v>39</x:v>
      </x:c>
      <x:c r="D104" s="158" t="n">
        <x:f>IF('전체 점수표'!I104="","",'전체 점수표'!I104)</x:f>
        <x:v>36</x:v>
      </x:c>
      <x:c r="E104" s="158" t="n">
        <x:f>IF(D104="","",D104-C104)</x:f>
        <x:v>-3</x:v>
      </x:c>
      <x:c r="F104" s="158" t="str">
        <x:v>9 / 8 / 6 / 7 / 4 / 5</x:v>
      </x:c>
      <x:c r="G104" s="158" t="str">
        <x:v>8 / 7 / 5 / 7 / 5 / 4</x:v>
      </x:c>
      <x:c r="H104" s="158" t="str">
        <x:v>미검증 승계·잠정</x:v>
      </x:c>
      <x:c r="I104" s="158" t="str">
        <x:v>구조점수 승계: 확인된 새 근거 없이 항목별 점수를 증감하지 않음. 최근 90일 검증된 가속도 근거 부족: 중립 가정 5점(실측 아님)</x:v>
      </x:c>
      <x:c r="J104" s="158" t="str"/>
      <x:c r="K104" s="158" t="str">
        <x:v>2025-01</x:v>
      </x:c>
    </x:row>
    <x:row r="105" ht="94" customHeight="1">
      <x:c r="A105" s="158" t="str">
        <x:v>2026-09</x:v>
      </x:c>
      <x:c r="B105" s="158" t="str">
        <x:v>アップアップガールズ（2）</x:v>
      </x:c>
      <x:c r="C105" s="158" t="n">
        <x:v>39</x:v>
      </x:c>
      <x:c r="D105" s="158" t="n">
        <x:f>IF('전체 점수표'!I105="","",'전체 점수표'!I105)</x:f>
        <x:v>36</x:v>
      </x:c>
      <x:c r="E105" s="158" t="n">
        <x:f>IF(D105="","",D105-C105)</x:f>
        <x:v>-3</x:v>
      </x:c>
      <x:c r="F105" s="158" t="str">
        <x:v>10 / 8 / 7 / 5 / 4 / 5</x:v>
      </x:c>
      <x:c r="G105" s="158" t="str">
        <x:v>9 / 7 / 6 / 5 / 5 / 4</x:v>
      </x:c>
      <x:c r="H105" s="158" t="str">
        <x:v>미검증 승계·잠정</x:v>
      </x:c>
      <x:c r="I105" s="158" t="str">
        <x:v>구조점수 승계: 확인된 새 근거 없이 항목별 점수를 증감하지 않음. 최근 90일 검증된 가속도 근거 부족: 중립 가정 5점(실측 아님)</x:v>
      </x:c>
      <x:c r="J105" s="158" t="str"/>
      <x:c r="K105" s="158" t="str">
        <x:v>2025-01</x:v>
      </x:c>
    </x:row>
    <x:row r="106" ht="94" customHeight="1">
      <x:c r="A106" s="158" t="str">
        <x:v>2026-09</x:v>
      </x:c>
      <x:c r="B106" s="158" t="str">
        <x:v>カラフルスクリーム</x:v>
      </x:c>
      <x:c r="C106" s="158" t="n">
        <x:v>40</x:v>
      </x:c>
      <x:c r="D106" s="158" t="n">
        <x:f>IF('전체 점수표'!I106="","",'전체 점수표'!I106)</x:f>
        <x:v>36</x:v>
      </x:c>
      <x:c r="E106" s="158" t="n">
        <x:f>IF(D106="","",D106-C106)</x:f>
        <x:v>-4</x:v>
      </x:c>
      <x:c r="F106" s="158" t="str">
        <x:v>10 / 8 / 7 / 6 / 5 / 4</x:v>
      </x:c>
      <x:c r="G106" s="158" t="str">
        <x:v>9 / 7 / 6 / 6 / 5 / 3</x:v>
      </x:c>
      <x:c r="H106" s="158" t="str">
        <x:v>미검증 승계·잠정</x:v>
      </x:c>
      <x:c r="I106" s="158" t="str">
        <x:v>구조점수 승계: 확인된 새 근거 없이 항목별 점수를 증감하지 않음. 최근 90일 검증된 가속도 근거 부족: 중립 가정 5점(실측 아님)</x:v>
      </x:c>
      <x:c r="J106" s="158" t="str"/>
      <x:c r="K106" s="158" t="str">
        <x:v>2025-01</x:v>
      </x:c>
    </x:row>
    <x:row r="107" ht="94" customHeight="1">
      <x:c r="A107" s="158" t="str">
        <x:v>2026-09</x:v>
      </x:c>
      <x:c r="B107" s="158" t="str">
        <x:v>きのホ。</x:v>
      </x:c>
      <x:c r="C107" s="158" t="n">
        <x:v>40</x:v>
      </x:c>
      <x:c r="D107" s="158" t="n">
        <x:f>IF('전체 점수표'!I107="","",'전체 점수표'!I107)</x:f>
        <x:v>36</x:v>
      </x:c>
      <x:c r="E107" s="158" t="n">
        <x:f>IF(D107="","",D107-C107)</x:f>
        <x:v>-4</x:v>
      </x:c>
      <x:c r="F107" s="158" t="str">
        <x:v>10 / 8 / 7 / 6 / 5 / 4</x:v>
      </x:c>
      <x:c r="G107" s="158" t="str">
        <x:v>9 / 7 / 6 / 6 / 5 / 3</x:v>
      </x:c>
      <x:c r="H107" s="158" t="str">
        <x:v>미검증 승계·잠정</x:v>
      </x:c>
      <x:c r="I107" s="158" t="str">
        <x:v>구조점수 승계: 확인된 새 근거 없이 항목별 점수를 증감하지 않음. 최근 90일 검증된 가속도 근거 부족: 중립 가정 5점(실측 아님)</x:v>
      </x:c>
      <x:c r="J107" s="158" t="str"/>
      <x:c r="K107" s="158" t="str">
        <x:v>2025-01</x:v>
      </x:c>
    </x:row>
    <x:row r="108" ht="94" customHeight="1">
      <x:c r="A108" s="158" t="str">
        <x:v>2026-09</x:v>
      </x:c>
      <x:c r="B108" s="158" t="str">
        <x:v>KRD8</x:v>
      </x:c>
      <x:c r="C108" s="158" t="n">
        <x:v>38</x:v>
      </x:c>
      <x:c r="D108" s="158" t="n">
        <x:f>IF('전체 점수표'!I108="","",'전체 점수표'!I108)</x:f>
        <x:v>35</x:v>
      </x:c>
      <x:c r="E108" s="158" t="n">
        <x:f>IF(D108="","",D108-C108)</x:f>
        <x:v>-3</x:v>
      </x:c>
      <x:c r="F108" s="158" t="str">
        <x:v>9 / 8 / 7 / 5 / 4 / 5</x:v>
      </x:c>
      <x:c r="G108" s="158" t="str">
        <x:v>8 / 7 / 6 / 5 / 5 / 4</x:v>
      </x:c>
      <x:c r="H108" s="158" t="str">
        <x:v>미검증 승계·잠정</x:v>
      </x:c>
      <x:c r="I108" s="158" t="str">
        <x:v>구조점수 승계: 확인된 새 근거 없이 항목별 점수를 증감하지 않음. 최근 90일 검증된 가속도 근거 부족: 중립 가정 5점(실측 아님)</x:v>
      </x:c>
      <x:c r="J108" s="158" t="str"/>
      <x:c r="K108" s="158" t="str">
        <x:v>2025-01</x:v>
      </x:c>
    </x:row>
    <x:row r="109" ht="94" customHeight="1">
      <x:c r="A109" s="158" t="str">
        <x:v>2026-09</x:v>
      </x:c>
      <x:c r="B109" s="158" t="str">
        <x:v>キングサリ</x:v>
      </x:c>
      <x:c r="C109" s="158" t="n">
        <x:v>39</x:v>
      </x:c>
      <x:c r="D109" s="158" t="n">
        <x:f>IF('전체 점수표'!I109="","",'전체 점수표'!I109)</x:f>
        <x:v>35</x:v>
      </x:c>
      <x:c r="E109" s="158" t="n">
        <x:f>IF(D109="","",D109-C109)</x:f>
        <x:v>-4</x:v>
      </x:c>
      <x:c r="F109" s="158" t="str">
        <x:v>11 / 8 / 5 / 6 / 5 / 4</x:v>
      </x:c>
      <x:c r="G109" s="158" t="str">
        <x:v>10 / 7 / 4 / 6 / 5 / 3</x:v>
      </x:c>
      <x:c r="H109" s="158" t="str">
        <x:v>미검증 승계·잠정</x:v>
      </x:c>
      <x:c r="I109" s="158" t="str">
        <x:v>구조점수 승계: 확인된 새 근거 없이 항목별 점수를 증감하지 않음. 최근 90일 검증된 가속도 근거 부족: 중립 가정 5점(실측 아님)</x:v>
      </x:c>
      <x:c r="J109" s="158" t="str"/>
      <x:c r="K109" s="158" t="str">
        <x:v>2025-01</x:v>
      </x:c>
    </x:row>
    <x:row r="110" ht="94" customHeight="1">
      <x:c r="A110" s="158" t="str">
        <x:v>2026-09</x:v>
      </x:c>
      <x:c r="B110" s="158" t="str">
        <x:v>君に、胸キュン。</x:v>
      </x:c>
      <x:c r="C110" s="158" t="n">
        <x:v>39</x:v>
      </x:c>
      <x:c r="D110" s="158" t="n">
        <x:f>IF('전체 점수표'!I110="","",'전체 점수표'!I110)</x:f>
        <x:v>35</x:v>
      </x:c>
      <x:c r="E110" s="158" t="n">
        <x:f>IF(D110="","",D110-C110)</x:f>
        <x:v>-4</x:v>
      </x:c>
      <x:c r="F110" s="158" t="str">
        <x:v>9 / 8 / 7 / 6 / 5 / 4</x:v>
      </x:c>
      <x:c r="G110" s="158" t="str">
        <x:v>8 / 7 / 6 / 6 / 5 / 3</x:v>
      </x:c>
      <x:c r="H110" s="158" t="str">
        <x:v>미검증 승계·잠정</x:v>
      </x:c>
      <x:c r="I110" s="158" t="str">
        <x:v>구조점수 승계: 확인된 새 근거 없이 항목별 점수를 증감하지 않음. 최근 90일 검증된 가속도 근거 부족: 중립 가정 5점(실측 아님)</x:v>
      </x:c>
      <x:c r="J110" s="158" t="str"/>
      <x:c r="K110" s="158" t="str">
        <x:v>2025-01</x:v>
      </x:c>
    </x:row>
    <x:row r="111" ht="94" customHeight="1">
      <x:c r="A111" s="158" t="str">
        <x:v>2026-09</x:v>
      </x:c>
      <x:c r="B111" s="158" t="str">
        <x:v>透色ドロップ</x:v>
      </x:c>
      <x:c r="C111" s="158" t="n">
        <x:v>38</x:v>
      </x:c>
      <x:c r="D111" s="158" t="n">
        <x:f>IF('전체 점수표'!I111="","",'전체 점수표'!I111)</x:f>
        <x:v>35</x:v>
      </x:c>
      <x:c r="E111" s="158" t="n">
        <x:f>IF(D111="","",D111-C111)</x:f>
        <x:v>-3</x:v>
      </x:c>
      <x:c r="F111" s="158" t="str">
        <x:v>10 / 8 / 6 / 5 / 4 / 5</x:v>
      </x:c>
      <x:c r="G111" s="158" t="str">
        <x:v>9 / 7 / 5 / 5 / 5 / 4</x:v>
      </x:c>
      <x:c r="H111" s="158" t="str">
        <x:v>미검증 승계·잠정</x:v>
      </x:c>
      <x:c r="I111" s="158" t="str">
        <x:v>구조점수 승계: 확인된 새 근거 없이 항목별 점수를 증감하지 않음. 최근 90일 검증된 가속도 근거 부족: 중립 가정 5점(실측 아님)</x:v>
      </x:c>
      <x:c r="J111" s="158" t="str"/>
      <x:c r="K111" s="158" t="str">
        <x:v>2025-01</x:v>
      </x:c>
    </x:row>
    <x:row r="112" ht="94" customHeight="1">
      <x:c r="A112" s="158" t="str">
        <x:v>2026-09</x:v>
      </x:c>
      <x:c r="B112" s="158" t="str">
        <x:v>Gran☆Ciel</x:v>
      </x:c>
      <x:c r="C112" s="158" t="n">
        <x:v>37</x:v>
      </x:c>
      <x:c r="D112" s="158" t="n">
        <x:f>IF('전체 점수표'!I112="","",'전체 점수표'!I112)</x:f>
        <x:v>34</x:v>
      </x:c>
      <x:c r="E112" s="158" t="n">
        <x:f>IF(D112="","",D112-C112)</x:f>
        <x:v>-3</x:v>
      </x:c>
      <x:c r="F112" s="158" t="str">
        <x:v>9 / 8 / 6 / 5 / 4 / 5</x:v>
      </x:c>
      <x:c r="G112" s="158" t="str">
        <x:v>8 / 7 / 5 / 5 / 5 / 4</x:v>
      </x:c>
      <x:c r="H112" s="158" t="str">
        <x:v>미검증 승계·잠정</x:v>
      </x:c>
      <x:c r="I112" s="158" t="str">
        <x:v>구조점수 승계: 확인된 새 근거 없이 항목별 점수를 증감하지 않음. 최근 90일 검증된 가속도 근거 부족: 중립 가정 5점(실측 아님)</x:v>
      </x:c>
      <x:c r="J112" s="158" t="str"/>
      <x:c r="K112" s="158" t="str">
        <x:v>2025-01</x:v>
      </x:c>
    </x:row>
    <x:row r="113" ht="94" customHeight="1">
      <x:c r="A113" s="158" t="str">
        <x:v>2026-09</x:v>
      </x:c>
      <x:c r="B113" s="158" t="str">
        <x:v>Ma'Scar'Piece</x:v>
      </x:c>
      <x:c r="C113" s="158" t="n">
        <x:v>39</x:v>
      </x:c>
      <x:c r="D113" s="158" t="n">
        <x:f>IF('전체 점수표'!I113="","",'전체 점수표'!I113)</x:f>
        <x:v>34</x:v>
      </x:c>
      <x:c r="E113" s="158" t="n">
        <x:f>IF(D113="","",D113-C113)</x:f>
        <x:v>-5</x:v>
      </x:c>
      <x:c r="F113" s="158" t="str">
        <x:v>9 / 7 / 6 / 7 / 6 / 4</x:v>
      </x:c>
      <x:c r="G113" s="158" t="str">
        <x:v>8 / 6 / 5 / 7 / 5 / 3</x:v>
      </x:c>
      <x:c r="H113" s="158" t="str">
        <x:v>미검증 승계·잠정</x:v>
      </x:c>
      <x:c r="I113" s="158" t="str">
        <x:v>구조점수 승계: 확인된 새 근거 없이 항목별 점수를 증감하지 않음. 최근 90일 검증된 가속도 근거 부족: 중립 가정 5점(실측 아님)</x:v>
      </x:c>
      <x:c r="J113" s="158" t="str"/>
      <x:c r="K113" s="158" t="str">
        <x:v>2025-01</x:v>
      </x:c>
    </x:row>
    <x:row r="114" ht="94" customHeight="1">
      <x:c r="A114" s="158" t="str">
        <x:v>2026-09</x:v>
      </x:c>
      <x:c r="B114" s="158" t="str">
        <x:v>NUANCE</x:v>
      </x:c>
      <x:c r="C114" s="158" t="n">
        <x:v>38</x:v>
      </x:c>
      <x:c r="D114" s="158" t="n">
        <x:f>IF('전체 점수표'!I114="","",'전체 점수표'!I114)</x:f>
        <x:v>34</x:v>
      </x:c>
      <x:c r="E114" s="158" t="n">
        <x:f>IF(D114="","",D114-C114)</x:f>
        <x:v>-4</x:v>
      </x:c>
      <x:c r="F114" s="158" t="str">
        <x:v>9 / 8 / 6 / 5 / 5 / 5</x:v>
      </x:c>
      <x:c r="G114" s="158" t="str">
        <x:v>8 / 7 / 5 / 5 / 5 / 4</x:v>
      </x:c>
      <x:c r="H114" s="158" t="str">
        <x:v>미검증 승계·잠정</x:v>
      </x:c>
      <x:c r="I114" s="158" t="str">
        <x:v>구조점수 승계: 확인된 새 근거 없이 항목별 점수를 증감하지 않음. 최근 90일 검증된 가속도 근거 부족: 중립 가정 5점(실측 아님)</x:v>
      </x:c>
      <x:c r="J114" s="158" t="str"/>
      <x:c r="K114" s="158" t="str">
        <x:v>2025-01</x:v>
      </x:c>
    </x:row>
    <x:row r="115" ht="94" customHeight="1">
      <x:c r="A115" s="158" t="str">
        <x:v>2026-09</x:v>
      </x:c>
      <x:c r="B115" s="158" t="str">
        <x:v>UN1CON</x:v>
      </x:c>
      <x:c r="C115" s="158" t="n">
        <x:v>42</x:v>
      </x:c>
      <x:c r="D115" s="158" t="n">
        <x:f>IF('전체 점수표'!I115="","",'전체 점수표'!I115)</x:f>
        <x:v>34</x:v>
      </x:c>
      <x:c r="E115" s="158" t="n">
        <x:f>IF(D115="","",D115-C115)</x:f>
        <x:v>-8</x:v>
      </x:c>
      <x:c r="F115" s="158" t="str">
        <x:v>7 / 6 / 6 / 10 / 9 / 4</x:v>
      </x:c>
      <x:c r="G115" s="158" t="str">
        <x:v>6 / 5 / 5 / 10 / 5 / 3</x:v>
      </x:c>
      <x:c r="H115" s="158" t="str">
        <x:v>미검증 승계·잠정</x:v>
      </x:c>
      <x:c r="I115" s="158" t="str">
        <x:v>구조점수 승계: 확인된 새 근거 없이 항목별 점수를 증감하지 않음. 최근 90일 검증된 가속도 근거 부족: 중립 가정 5점(실측 아님)</x:v>
      </x:c>
      <x:c r="J115" s="158" t="str"/>
      <x:c r="K115" s="158" t="str">
        <x:v>2025-01</x:v>
      </x:c>
    </x:row>
    <x:row r="116" ht="94" customHeight="1">
      <x:c r="A116" s="158" t="str">
        <x:v>2026-09</x:v>
      </x:c>
      <x:c r="B116" s="158" t="str">
        <x:v>かすみ草とステラ</x:v>
      </x:c>
      <x:c r="C116" s="158" t="n">
        <x:v>37</x:v>
      </x:c>
      <x:c r="D116" s="158" t="n">
        <x:f>IF('전체 점수표'!I116="","",'전체 점수표'!I116)</x:f>
        <x:v>34</x:v>
      </x:c>
      <x:c r="E116" s="158" t="n">
        <x:f>IF(D116="","",D116-C116)</x:f>
        <x:v>-3</x:v>
      </x:c>
      <x:c r="F116" s="158" t="str">
        <x:v>10 / 8 / 6 / 5 / 4 / 4</x:v>
      </x:c>
      <x:c r="G116" s="158" t="str">
        <x:v>9 / 7 / 5 / 5 / 5 / 3</x:v>
      </x:c>
      <x:c r="H116" s="158" t="str">
        <x:v>미검증 승계·잠정</x:v>
      </x:c>
      <x:c r="I116" s="158" t="str">
        <x:v>구조점수 승계: 확인된 새 근거 없이 항목별 점수를 증감하지 않음. 최근 90일 검증된 가속도 근거 부족: 중립 가정 5점(실측 아님)</x:v>
      </x:c>
      <x:c r="J116" s="158" t="str"/>
      <x:c r="K116" s="158" t="str">
        <x:v>2025-01</x:v>
      </x:c>
    </x:row>
    <x:row r="117" ht="94" customHeight="1">
      <x:c r="A117" s="158" t="str">
        <x:v>2026-09</x:v>
      </x:c>
      <x:c r="B117" s="158" t="str">
        <x:v>さよならステイチューン</x:v>
      </x:c>
      <x:c r="C117" s="158" t="n">
        <x:v>38</x:v>
      </x:c>
      <x:c r="D117" s="158" t="n">
        <x:f>IF('전체 점수표'!I117="","",'전체 점수표'!I117)</x:f>
        <x:v>34</x:v>
      </x:c>
      <x:c r="E117" s="158" t="n">
        <x:f>IF(D117="","",D117-C117)</x:f>
        <x:v>-4</x:v>
      </x:c>
      <x:c r="F117" s="158" t="str">
        <x:v>9 / 7 / 6 / 7 / 5 / 4</x:v>
      </x:c>
      <x:c r="G117" s="158" t="str">
        <x:v>8 / 6 / 5 / 7 / 5 / 3</x:v>
      </x:c>
      <x:c r="H117" s="158" t="str">
        <x:v>미검증 승계·잠정</x:v>
      </x:c>
      <x:c r="I117" s="158" t="str">
        <x:v>구조점수 승계: 확인된 새 근거 없이 항목별 점수를 증감하지 않음. 최근 90일 검증된 가속도 근거 부족: 중립 가정 5점(실측 아님)</x:v>
      </x:c>
      <x:c r="J117" s="158" t="str"/>
      <x:c r="K117" s="158" t="str">
        <x:v>2025-01</x:v>
      </x:c>
    </x:row>
    <x:row r="118" ht="94" customHeight="1">
      <x:c r="A118" s="158" t="str">
        <x:v>2026-09</x:v>
      </x:c>
      <x:c r="B118" s="158" t="str">
        <x:v>ハルニシオン</x:v>
      </x:c>
      <x:c r="C118" s="158" t="n">
        <x:v>39</x:v>
      </x:c>
      <x:c r="D118" s="158" t="n">
        <x:f>IF('전체 점수표'!I118="","",'전체 점수표'!I118)</x:f>
        <x:v>34</x:v>
      </x:c>
      <x:c r="E118" s="158" t="n">
        <x:f>IF(D118="","",D118-C118)</x:f>
        <x:v>-5</x:v>
      </x:c>
      <x:c r="F118" s="158" t="str">
        <x:v>10 / 8 / 5 / 6 / 6 / 4</x:v>
      </x:c>
      <x:c r="G118" s="158" t="str">
        <x:v>9 / 7 / 4 / 6 / 5 / 3</x:v>
      </x:c>
      <x:c r="H118" s="158" t="str">
        <x:v>미검증 승계·잠정</x:v>
      </x:c>
      <x:c r="I118" s="158" t="str">
        <x:v>구조점수 승계: 확인된 새 근거 없이 항목별 점수를 증감하지 않음. 최근 90일 검증된 가속도 근거 부족: 중립 가정 5점(실측 아님)</x:v>
      </x:c>
      <x:c r="J118" s="158" t="str"/>
      <x:c r="K118" s="158" t="str">
        <x:v>2025-01</x:v>
      </x:c>
    </x:row>
    <x:row r="119" ht="94" customHeight="1">
      <x:c r="A119" s="158" t="str">
        <x:v>2026-09</x:v>
      </x:c>
      <x:c r="B119" s="158" t="str">
        <x:v>ロージークロニクル</x:v>
      </x:c>
      <x:c r="C119" s="158" t="n">
        <x:v>48</x:v>
      </x:c>
      <x:c r="D119" s="158" t="n">
        <x:f>IF('전체 점수표'!I119="","",'전체 점수표'!I119)</x:f>
        <x:v>34</x:v>
      </x:c>
      <x:c r="E119" s="158" t="n">
        <x:f>IF(D119="","",D119-C119)</x:f>
        <x:v>-14</x:v>
      </x:c>
      <x:c r="F119" s="158" t="str">
        <x:v>10 / 10 / 8 / 6 / 8 / 6</x:v>
      </x:c>
      <x:c r="G119" s="158" t="str">
        <x:v>8 / 8 / 6 / 4 / 5 / 3</x:v>
      </x:c>
      <x:c r="H119" s="158" t="str">
        <x:v>미검증 승계·잠정</x:v>
      </x:c>
      <x:c r="I119" s="158" t="str">
        <x:v>구조점수 승계: 확인된 새 근거 없이 항목별 점수를 증감하지 않음. 최근 90일 검증된 가속도 근거 부족: 중립 가정 5점(실측 아님)</x:v>
      </x:c>
      <x:c r="J119" s="158" t="str"/>
      <x:c r="K119" s="158" t="str">
        <x:v>2025-03</x:v>
      </x:c>
    </x:row>
    <x:row r="120" ht="94" customHeight="1">
      <x:c r="A120" s="158" t="str">
        <x:v>2026-09</x:v>
      </x:c>
      <x:c r="B120" s="158" t="str">
        <x:v>DREAMING MONSTER</x:v>
      </x:c>
      <x:c r="C120" s="158" t="n">
        <x:v>36</x:v>
      </x:c>
      <x:c r="D120" s="158" t="n">
        <x:f>IF('전체 점수표'!I120="","",'전체 점수표'!I120)</x:f>
        <x:v>33</x:v>
      </x:c>
      <x:c r="E120" s="158" t="n">
        <x:f>IF(D120="","",D120-C120)</x:f>
        <x:v>-3</x:v>
      </x:c>
      <x:c r="F120" s="158" t="str">
        <x:v>9 / 8 / 6 / 5 / 4 / 4</x:v>
      </x:c>
      <x:c r="G120" s="158" t="str">
        <x:v>8 / 7 / 5 / 5 / 5 / 3</x:v>
      </x:c>
      <x:c r="H120" s="158" t="str">
        <x:v>미검증 승계·잠정</x:v>
      </x:c>
      <x:c r="I120" s="158" t="str">
        <x:v>구조점수 승계: 확인된 새 근거 없이 항목별 점수를 증감하지 않음. 최근 90일 검증된 가속도 근거 부족: 중립 가정 5점(실측 아님)</x:v>
      </x:c>
      <x:c r="J120" s="158" t="str"/>
      <x:c r="K120" s="158" t="str">
        <x:v>2025-01</x:v>
      </x:c>
    </x:row>
    <x:row r="121" ht="94" customHeight="1">
      <x:c r="A121" s="158" t="str">
        <x:v>2026-09</x:v>
      </x:c>
      <x:c r="B121" s="158" t="str">
        <x:v>MYERA</x:v>
      </x:c>
      <x:c r="C121" s="158" t="n">
        <x:v>44</x:v>
      </x:c>
      <x:c r="D121" s="158" t="n">
        <x:f>IF('전체 점수표'!I121="","",'전체 점수표'!I121)</x:f>
        <x:v>33</x:v>
      </x:c>
      <x:c r="E121" s="158" t="n">
        <x:f>IF(D121="","",D121-C121)</x:f>
        <x:v>-11</x:v>
      </x:c>
      <x:c r="F121" s="158" t="str">
        <x:v>8 / 7 / 7 / 10 / 8 / 4</x:v>
      </x:c>
      <x:c r="G121" s="158" t="str">
        <x:v>6 / 6 / 5 / 9 / 5 / 2</x:v>
      </x:c>
      <x:c r="H121" s="158" t="str">
        <x:v>미검증 승계·잠정</x:v>
      </x:c>
      <x:c r="I121" s="158" t="str">
        <x:v>구조점수 승계: 확인된 새 근거 없이 항목별 점수를 증감하지 않음. 최근 90일 검증된 가속도 근거 부족: 중립 가정 5점(실측 아님)</x:v>
      </x:c>
      <x:c r="J121" s="158" t="str"/>
      <x:c r="K121" s="158" t="str">
        <x:v>2025-01</x:v>
      </x:c>
    </x:row>
    <x:row r="122" ht="94" customHeight="1">
      <x:c r="A122" s="158" t="str">
        <x:v>2026-09</x:v>
      </x:c>
      <x:c r="B122" s="158" t="str">
        <x:v>Ringwanderung</x:v>
      </x:c>
      <x:c r="C122" s="158" t="n">
        <x:v>35</x:v>
      </x:c>
      <x:c r="D122" s="158" t="n">
        <x:f>IF('전체 점수표'!I122="","",'전체 점수표'!I122)</x:f>
        <x:v>33</x:v>
      </x:c>
      <x:c r="E122" s="158" t="n">
        <x:f>IF(D122="","",D122-C122)</x:f>
        <x:v>-2</x:v>
      </x:c>
      <x:c r="F122" s="158" t="str">
        <x:v>9 / 8 / 6 / 5 / 3 / 4</x:v>
      </x:c>
      <x:c r="G122" s="158" t="str">
        <x:v>8 / 7 / 5 / 5 / 5 / 3</x:v>
      </x:c>
      <x:c r="H122" s="158" t="str">
        <x:v>미검증 승계·잠정</x:v>
      </x:c>
      <x:c r="I122" s="158" t="str">
        <x:v>구조점수 승계: 확인된 새 근거 없이 항목별 점수를 증감하지 않음. 최근 90일 검증된 가속도 근거 부족: 중립 가정 5점(실측 아님)</x:v>
      </x:c>
      <x:c r="J122" s="158" t="str"/>
      <x:c r="K122" s="158" t="str">
        <x:v>2025-01</x:v>
      </x:c>
    </x:row>
    <x:row r="123" ht="94" customHeight="1">
      <x:c r="A123" s="158" t="str">
        <x:v>2026-09</x:v>
      </x:c>
      <x:c r="B123" s="158" t="str">
        <x:v>Kolokol</x:v>
      </x:c>
      <x:c r="C123" s="158" t="n">
        <x:v>35</x:v>
      </x:c>
      <x:c r="D123" s="158" t="n">
        <x:f>IF('전체 점수표'!I123="","",'전체 점수표'!I123)</x:f>
        <x:v>32</x:v>
      </x:c>
      <x:c r="E123" s="158" t="n">
        <x:f>IF(D123="","",D123-C123)</x:f>
        <x:v>-3</x:v>
      </x:c>
      <x:c r="F123" s="158" t="str">
        <x:v>9 / 8 / 5 / 5 / 4 / 4</x:v>
      </x:c>
      <x:c r="G123" s="158" t="str">
        <x:v>8 / 7 / 4 / 5 / 5 / 3</x:v>
      </x:c>
      <x:c r="H123" s="158" t="str">
        <x:v>미검증 승계·잠정</x:v>
      </x:c>
      <x:c r="I123" s="158" t="str">
        <x:v>구조점수 승계: 확인된 새 근거 없이 항목별 점수를 증감하지 않음. 최근 90일 검증된 가속도 근거 부족: 중립 가정 5점(실측 아님)</x:v>
      </x:c>
      <x:c r="J123" s="158" t="str"/>
      <x:c r="K123" s="158" t="str">
        <x:v>2025-01</x:v>
      </x:c>
    </x:row>
    <x:row r="124" ht="94" customHeight="1">
      <x:c r="A124" s="158" t="str">
        <x:v>2026-09</x:v>
      </x:c>
      <x:c r="B124" s="158" t="str">
        <x:v>PinkySpice</x:v>
      </x:c>
      <x:c r="C124" s="158" t="n">
        <x:v>35</x:v>
      </x:c>
      <x:c r="D124" s="158" t="n">
        <x:f>IF('전체 점수표'!I124="","",'전체 점수표'!I124)</x:f>
        <x:v>32</x:v>
      </x:c>
      <x:c r="E124" s="158" t="n">
        <x:f>IF(D124="","",D124-C124)</x:f>
        <x:v>-3</x:v>
      </x:c>
      <x:c r="F124" s="158" t="str">
        <x:v>9 / 7 / 6 / 5 / 4 / 4</x:v>
      </x:c>
      <x:c r="G124" s="158" t="str">
        <x:v>8 / 6 / 5 / 5 / 5 / 3</x:v>
      </x:c>
      <x:c r="H124" s="158" t="str">
        <x:v>미검증 승계·잠정</x:v>
      </x:c>
      <x:c r="I124" s="158" t="str">
        <x:v>구조점수 승계: 확인된 새 근거 없이 항목별 점수를 증감하지 않음. 최근 90일 검증된 가속도 근거 부족: 중립 가정 5점(실측 아님)</x:v>
      </x:c>
      <x:c r="J124" s="158" t="str"/>
      <x:c r="K124" s="158" t="str">
        <x:v>2025-01</x:v>
      </x:c>
    </x:row>
    <x:row r="125" ht="94" customHeight="1">
      <x:c r="A125" s="158" t="str">
        <x:v>2026-09</x:v>
      </x:c>
      <x:c r="B125" s="158" t="str">
        <x:v>すーぱーぷーばぁー!!</x:v>
      </x:c>
      <x:c r="C125" s="158" t="n">
        <x:v>37</x:v>
      </x:c>
      <x:c r="D125" s="158" t="n">
        <x:f>IF('전체 점수표'!I125="","",'전체 점수표'!I125)</x:f>
        <x:v>32</x:v>
      </x:c>
      <x:c r="E125" s="158" t="n">
        <x:f>IF(D125="","",D125-C125)</x:f>
        <x:v>-5</x:v>
      </x:c>
      <x:c r="F125" s="158" t="str">
        <x:v>9 / 7 / 5 / 6 / 6 / 4</x:v>
      </x:c>
      <x:c r="G125" s="158" t="str">
        <x:v>8 / 6 / 4 / 6 / 5 / 3</x:v>
      </x:c>
      <x:c r="H125" s="158" t="str">
        <x:v>미검증 승계·잠정</x:v>
      </x:c>
      <x:c r="I125" s="158" t="str">
        <x:v>구조점수 승계: 확인된 새 근거 없이 항목별 점수를 증감하지 않음. 최근 90일 검증된 가속도 근거 부족: 중립 가정 5점(실측 아님)</x:v>
      </x:c>
      <x:c r="J125" s="158" t="str"/>
      <x:c r="K125" s="158" t="str">
        <x:v>2025-01</x:v>
      </x:c>
    </x:row>
    <x:row r="126" ht="94" customHeight="1">
      <x:c r="A126" s="158" t="str">
        <x:v>2026-09</x:v>
      </x:c>
      <x:c r="B126" s="158" t="str">
        <x:v>ルルネージュ</x:v>
      </x:c>
      <x:c r="C126" s="158" t="n">
        <x:v>35</x:v>
      </x:c>
      <x:c r="D126" s="158" t="n">
        <x:f>IF('전체 점수표'!I126="","",'전체 점수표'!I126)</x:f>
        <x:v>32</x:v>
      </x:c>
      <x:c r="E126" s="158" t="n">
        <x:f>IF(D126="","",D126-C126)</x:f>
        <x:v>-3</x:v>
      </x:c>
      <x:c r="F126" s="158" t="str">
        <x:v>9 / 7 / 5 / 6 / 4 / 4</x:v>
      </x:c>
      <x:c r="G126" s="158" t="str">
        <x:v>8 / 6 / 4 / 6 / 5 / 3</x:v>
      </x:c>
      <x:c r="H126" s="158" t="str">
        <x:v>미검증 승계·잠정</x:v>
      </x:c>
      <x:c r="I126" s="158" t="str">
        <x:v>구조점수 승계: 확인된 새 근거 없이 항목별 점수를 증감하지 않음. 최근 90일 검증된 가속도 근거 부족: 중립 가정 5점(실측 아님)</x:v>
      </x:c>
      <x:c r="J126" s="158" t="str"/>
      <x:c r="K126" s="158" t="str">
        <x:v>2025-01</x:v>
      </x:c>
    </x:row>
    <x:row r="127" ht="94" customHeight="1">
      <x:c r="A127" s="158" t="str">
        <x:v>2026-09</x:v>
      </x:c>
      <x:c r="B127" s="158" t="str">
        <x:v>点染テンセイ少女。</x:v>
      </x:c>
      <x:c r="C127" s="158" t="n">
        <x:v>37</x:v>
      </x:c>
      <x:c r="D127" s="158" t="n">
        <x:f>IF('전체 점수표'!I127="","",'전체 점수표'!I127)</x:f>
        <x:v>32</x:v>
      </x:c>
      <x:c r="E127" s="158" t="n">
        <x:f>IF(D127="","",D127-C127)</x:f>
        <x:v>-5</x:v>
      </x:c>
      <x:c r="F127" s="158" t="str">
        <x:v>9 / 7 / 5 / 6 / 6 / 4</x:v>
      </x:c>
      <x:c r="G127" s="158" t="str">
        <x:v>8 / 6 / 4 / 6 / 5 / 3</x:v>
      </x:c>
      <x:c r="H127" s="158" t="str">
        <x:v>미검증 승계·잠정</x:v>
      </x:c>
      <x:c r="I127" s="158" t="str">
        <x:v>구조점수 승계: 확인된 새 근거 없이 항목별 점수를 증감하지 않음. 최근 90일 검증된 가속도 근거 부족: 중립 가정 5점(실측 아님)</x:v>
      </x:c>
      <x:c r="J127" s="158" t="str"/>
      <x:c r="K127" s="158" t="str">
        <x:v>2025-01</x:v>
      </x:c>
    </x:row>
    <x:row r="128" ht="94" customHeight="1">
      <x:c r="A128" s="158" t="str">
        <x:v>2026-09</x:v>
      </x:c>
      <x:c r="B128" s="158" t="str">
        <x:v>SAI²Rium</x:v>
      </x:c>
      <x:c r="C128" s="158" t="n">
        <x:v>34</x:v>
      </x:c>
      <x:c r="D128" s="158" t="n">
        <x:f>IF('전체 점수표'!I128="","",'전체 점수표'!I128)</x:f>
        <x:v>31</x:v>
      </x:c>
      <x:c r="E128" s="158" t="n">
        <x:f>IF(D128="","",D128-C128)</x:f>
        <x:v>-3</x:v>
      </x:c>
      <x:c r="F128" s="158" t="str">
        <x:v>8 / 7 / 5 / 6 / 4 / 4</x:v>
      </x:c>
      <x:c r="G128" s="158" t="str">
        <x:v>7 / 6 / 4 / 6 / 5 / 3</x:v>
      </x:c>
      <x:c r="H128" s="158" t="str">
        <x:v>미검증 승계·잠정</x:v>
      </x:c>
      <x:c r="I128" s="158" t="str">
        <x:v>구조점수 승계: 확인된 새 근거 없이 항목별 점수를 증감하지 않음. 최근 90일 검증된 가속도 근거 부족: 중립 가정 5점(실측 아님)</x:v>
      </x:c>
      <x:c r="J128" s="158" t="str"/>
      <x:c r="K128" s="158" t="str">
        <x:v>2025-01</x:v>
      </x:c>
    </x:row>
    <x:row r="129" ht="94" customHeight="1">
      <x:c r="A129" s="158" t="str">
        <x:v>2026-09</x:v>
      </x:c>
      <x:c r="B129" s="158" t="str">
        <x:v>Bunny La Crew</x:v>
      </x:c>
      <x:c r="C129" s="158" t="n">
        <x:v>33</x:v>
      </x:c>
      <x:c r="D129" s="158" t="n">
        <x:f>IF('전체 점수표'!I129="","",'전체 점수표'!I129)</x:f>
        <x:v>30</x:v>
      </x:c>
      <x:c r="E129" s="158" t="n">
        <x:f>IF(D129="","",D129-C129)</x:f>
        <x:v>-3</x:v>
      </x:c>
      <x:c r="F129" s="158" t="str">
        <x:v>8 / 7 / 5 / 5 / 4 / 4</x:v>
      </x:c>
      <x:c r="G129" s="158" t="str">
        <x:v>7 / 6 / 4 / 5 / 5 / 3</x:v>
      </x:c>
      <x:c r="H129" s="158" t="str">
        <x:v>미검증 승계·잠정</x:v>
      </x:c>
      <x:c r="I129" s="158" t="str">
        <x:v>구조점수 승계: 확인된 새 근거 없이 항목별 점수를 증감하지 않음. 최근 90일 검증된 가속도 근거 부족: 중립 가정 5점(실측 아님)</x:v>
      </x:c>
      <x:c r="J129" s="158" t="str"/>
      <x:c r="K129" s="158" t="str">
        <x:v>2025-01</x:v>
      </x:c>
    </x:row>
    <x:row r="130" ht="94" customHeight="1">
      <x:c r="A130" s="158" t="str">
        <x:v>2026-09</x:v>
      </x:c>
      <x:c r="B130" s="158" t="str">
        <x:v>MORE STAR</x:v>
      </x:c>
      <x:c r="C130" s="158" t="n">
        <x:v>59</x:v>
      </x:c>
      <x:c r="D130" s="158" t="n">
        <x:f>IF('전체 점수표'!I130="","",'전체 점수표'!I130)</x:f>
        <x:v>26</x:v>
      </x:c>
      <x:c r="E130" s="158" t="n">
        <x:f>IF(D130="","",D130-C130)</x:f>
        <x:v>-33</x:v>
      </x:c>
      <x:c r="F130" s="158" t="str">
        <x:v>14 / 10 / 8 / 10 / 10 / 7</x:v>
      </x:c>
      <x:c r="G130" s="158" t="str">
        <x:v>4 / 6 / 3 / 6 / 5 / 2</x:v>
      </x:c>
      <x:c r="H130" s="158" t="str">
        <x:v>부분확인·잠정</x:v>
      </x:c>
      <x:c r="I130" s="158" t="str">
        <x:v>구조점수 승계: 확인된 새 근거 없이 항목별 점수를 증감하지 않음. 최근 90일 검증된 가속도 근거 부족: 중립 가정 5점(실측 아님)</x:v>
      </x:c>
      <x:c r="J130" s="158" t="str">
        <x:v>E064</x:v>
      </x:c>
      <x:c r="K130" s="158" t="str">
        <x:v>2025-12</x:v>
      </x:c>
    </x:row>
  </x:sheetData>
  <x:pageMargins left="0.7" right="0.7" top="0.75" bottom="0.75" header="0.3" footer="0.3"/>
</x:worksheet>
</file>