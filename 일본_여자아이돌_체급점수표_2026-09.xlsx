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3e8d802de249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전체 점수표" sheetId="1" r:id="R7850ea8396274bc2"/>
    <x:sheet xmlns:r="http://schemas.openxmlformats.org/officeDocument/2006/relationships" name="티어 요약" sheetId="2" r:id="R4429e5be8e5e4ff6"/>
    <x:sheet xmlns:r="http://schemas.openxmlformats.org/officeDocument/2006/relationships" name="평가기준" sheetId="3" r:id="R36219f1138714ad8"/>
    <x:sheet xmlns:r="http://schemas.openxmlformats.org/officeDocument/2006/relationships" name="Sources" sheetId="4" r:id="R1545839b5d0746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"/>
  </x:numFmts>
  <x:fonts count="6">
    <x:font>
      <x:sz val="11"/>
      <x:name val="Carlito"/>
    </x:font>
    <x:font>
      <x:b/>
      <x:sz val="16"/>
      <x:color rgb="FFFFFFFF"/>
      <x:name val="Carlito"/>
    </x:font>
    <x:font>
      <x:sz val="10"/>
      <x:color rgb="FF374151"/>
      <x:name val="Carlito"/>
    </x:font>
    <x:font>
      <x:b/>
      <x:sz val="11"/>
      <x:color rgb="FFFFFFFF"/>
      <x:name val="Carlito"/>
    </x:font>
    <x:font>
      <x:sz val="10"/>
      <x:name val="Carlito"/>
    </x:font>
    <x:font>
      <x:b/>
      <x:sz val="11"/>
      <x:color rgb="FF92400E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3F4F6"/>
      </x:patternFill>
    </x:fill>
    <x:fill>
      <x:patternFill patternType="solid">
        <x:fgColor rgb="FF1F2937"/>
      </x:patternFill>
    </x:fill>
    <x:fill>
      <x:patternFill patternType="solid">
        <x:fgColor rgb="FFEDE9FE"/>
      </x:patternFill>
    </x:fill>
    <x:fill>
      <x:patternFill patternType="solid">
        <x:fgColor rgb="FFDDD6FE"/>
      </x:patternFill>
    </x:fill>
    <x:fill>
      <x:patternFill patternType="solid">
        <x:fgColor rgb="FFDBEAFE"/>
      </x:patternFill>
    </x:fill>
    <x:fill>
      <x:patternFill patternType="solid">
        <x:fgColor rgb="FFBFDBFE"/>
      </x:patternFill>
    </x:fill>
    <x:fill>
      <x:patternFill patternType="solid">
        <x:fgColor rgb="FFCFFAFE"/>
      </x:patternFill>
    </x:fill>
    <x:fill>
      <x:patternFill patternType="solid">
        <x:fgColor rgb="FFA5F3FC"/>
      </x:patternFill>
    </x:fill>
    <x:fill>
      <x:patternFill patternType="solid">
        <x:fgColor rgb="FFFEF3C7"/>
      </x:patternFill>
    </x:fill>
    <x:fill>
      <x:patternFill patternType="solid">
        <x:fgColor rgb="FFFDE68A"/>
      </x:patternFill>
    </x:fill>
    <x:fill>
      <x:patternFill patternType="solid">
        <x:fgColor rgb="FFFED7AA"/>
      </x:patternFill>
    </x:fill>
    <x:fill>
      <x:patternFill patternType="solid">
        <x:fgColor rgb="FFFDBA74"/>
      </x:patternFill>
    </x:fill>
  </x:fills>
  <x:borders count="18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14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horizontal="center"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vertical="center" wrapText="1"/>
    </x:xf>
    <x:xf numFmtId="0" fontId="3" fillId="4" borderId="10" xfId="0" applyNumberFormat="1" applyFont="1" applyFill="1" applyBorder="1" applyAlignment="1">
      <x:alignment horizontal="center" vertical="center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4" fillId="0" borderId="13" xfId="0" applyNumberFormat="1" applyFont="1" applyFill="1" applyBorder="1" applyAlignment="1">
      <x:alignment horizontal="center" vertical="center"/>
    </x:xf>
    <x:xf numFmtId="0" fontId="4" fillId="0" borderId="14" xfId="0" applyNumberFormat="1" applyFont="1" applyFill="1" applyBorder="1" applyAlignment="1">
      <x:alignment vertical="center" wrapText="1"/>
    </x:xf>
    <x:xf numFmtId="0" fontId="4" fillId="0" borderId="15" xfId="0" applyNumberFormat="1" applyFont="1" applyFill="1" applyBorder="1" applyAlignment="1">
      <x:alignment horizontal="center" vertical="center"/>
    </x:xf>
    <x:xf numFmtId="0" fontId="4" fillId="0" borderId="16" xfId="0" applyNumberFormat="1" applyFont="1" applyFill="1" applyBorder="1" applyAlignment="1">
      <x:alignment vertical="center"/>
    </x:xf>
    <x:xf numFmtId="0" fontId="4" fillId="0" borderId="16" xfId="0" applyNumberFormat="1" applyFont="1" applyFill="1" applyBorder="1" applyAlignment="1">
      <x:alignment horizontal="center" vertical="center"/>
    </x:xf>
    <x:xf numFmtId="0" fontId="4" fillId="0" borderId="17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0" xfId="0" applyNumberFormat="1" applyFont="1" applyFill="1" applyBorder="1"/>
    <x:xf numFmtId="0" fontId="0" fillId="10" borderId="1" xfId="0" applyNumberFormat="1" applyFont="1" applyFill="1" applyBorder="1"/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2" borderId="0" xfId="0" applyNumberFormat="1" applyFont="1" applyFill="1" applyBorder="1"/>
    <x:xf numFmtId="0" fontId="0" fillId="12" borderId="1" xfId="0" applyNumberFormat="1" applyFont="1" applyFill="1" applyBorder="1"/>
    <x:xf numFmtId="0" fontId="0" fillId="13" borderId="0" xfId="0" applyNumberFormat="1" applyFont="1" applyFill="1" applyBorder="1"/>
    <x:xf numFmtId="0" fontId="0" fillId="13" borderId="1" xfId="0" applyNumberFormat="1" applyFont="1" applyFill="1" applyBorder="1"/>
    <x:xf numFmtId="0" fontId="0" fillId="14" borderId="0" xfId="0" applyNumberFormat="1" applyFont="1" applyFill="1" applyBorder="1"/>
    <x:xf numFmtId="0" fontId="0" fillId="14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0" fontId="5" fillId="11" borderId="1" xfId="0" applyNumberFormat="1" applyFont="1" applyFill="1" applyBorder="1"/>
    <x:xf numFmtId="0" fontId="5" fillId="11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/>
    <x:xf numFmtId="0" fontId="3" fillId="4" borderId="4" xfId="0" applyNumberFormat="1" applyFont="1" applyFill="1" applyBorder="1" applyAlignment="1">
      <x:alignment horizontal="center"/>
    </x:xf>
    <x:xf numFmtId="0" fontId="0" fillId="5" borderId="5" xfId="0" applyNumberFormat="1" applyFont="1" applyFill="1" applyBorder="1"/>
    <x:xf numFmtId="0" fontId="0" fillId="0" borderId="0" xfId="0" applyNumberFormat="1" applyFont="1" applyFill="1" applyBorder="1"/>
    <x:xf numFmtId="200" fontId="0" fillId="0" borderId="6" xfId="0" applyNumberFormat="1" applyFont="1" applyFill="1" applyBorder="1"/>
    <x:xf numFmtId="0" fontId="0" fillId="6" borderId="5" xfId="0" applyNumberFormat="1" applyFont="1" applyFill="1" applyBorder="1"/>
    <x:xf numFmtId="0" fontId="0" fillId="7" borderId="5" xfId="0" applyNumberFormat="1" applyFont="1" applyFill="1" applyBorder="1"/>
    <x:xf numFmtId="0" fontId="0" fillId="8" borderId="5" xfId="0" applyNumberFormat="1" applyFont="1" applyFill="1" applyBorder="1"/>
    <x:xf numFmtId="0" fontId="0" fillId="9" borderId="5" xfId="0" applyNumberFormat="1" applyFont="1" applyFill="1" applyBorder="1"/>
    <x:xf numFmtId="0" fontId="0" fillId="10" borderId="5" xfId="0" applyNumberFormat="1" applyFont="1" applyFill="1" applyBorder="1"/>
    <x:xf numFmtId="0" fontId="0" fillId="11" borderId="5" xfId="0" applyNumberFormat="1" applyFont="1" applyFill="1" applyBorder="1"/>
    <x:xf numFmtId="0" fontId="0" fillId="12" borderId="5" xfId="0" applyNumberFormat="1" applyFont="1" applyFill="1" applyBorder="1"/>
    <x:xf numFmtId="0" fontId="0" fillId="0" borderId="6" xfId="0" applyNumberFormat="1" applyFont="1" applyFill="1" applyBorder="1"/>
    <x:xf numFmtId="0" fontId="0" fillId="13" borderId="5" xfId="0" applyNumberFormat="1" applyFont="1" applyFill="1" applyBorder="1"/>
    <x:xf numFmtId="0" fontId="0" fillId="14" borderId="5" xfId="0" applyNumberFormat="1" applyFont="1" applyFill="1" applyBorder="1"/>
    <x:xf numFmtId="0" fontId="0" fillId="0" borderId="5" xfId="0" applyNumberFormat="1" applyFont="1" applyFill="1" applyBorder="1"/>
    <x:xf numFmtId="0" fontId="3" fillId="4" borderId="5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3" fillId="4" borderId="10" xfId="0" applyNumberFormat="1" applyFont="1" applyFill="1" applyBorder="1" applyAlignment="1">
      <x:alignment horizontal="center"/>
    </x:xf>
    <x:xf numFmtId="0" fontId="3" fillId="4" borderId="11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/>
    <x:xf numFmtId="0" fontId="3" fillId="4" borderId="12" xfId="0" applyNumberFormat="1" applyFont="1" applyFill="1" applyBorder="1" applyAlignment="1">
      <x:alignment horizontal="center"/>
    </x:xf>
    <x:xf numFmtId="0" fontId="0" fillId="5" borderId="13" xfId="0" applyNumberFormat="1" applyFont="1" applyFill="1" applyBorder="1"/>
    <x:xf numFmtId="200" fontId="0" fillId="0" borderId="14" xfId="0" applyNumberFormat="1" applyFont="1" applyFill="1" applyBorder="1"/>
    <x:xf numFmtId="0" fontId="0" fillId="6" borderId="13" xfId="0" applyNumberFormat="1" applyFont="1" applyFill="1" applyBorder="1"/>
    <x:xf numFmtId="0" fontId="0" fillId="7" borderId="13" xfId="0" applyNumberFormat="1" applyFont="1" applyFill="1" applyBorder="1"/>
    <x:xf numFmtId="0" fontId="0" fillId="8" borderId="13" xfId="0" applyNumberFormat="1" applyFont="1" applyFill="1" applyBorder="1"/>
    <x:xf numFmtId="0" fontId="0" fillId="9" borderId="13" xfId="0" applyNumberFormat="1" applyFont="1" applyFill="1" applyBorder="1"/>
    <x:xf numFmtId="0" fontId="0" fillId="10" borderId="13" xfId="0" applyNumberFormat="1" applyFont="1" applyFill="1" applyBorder="1"/>
    <x:xf numFmtId="0" fontId="0" fillId="11" borderId="13" xfId="0" applyNumberFormat="1" applyFont="1" applyFill="1" applyBorder="1"/>
    <x:xf numFmtId="0" fontId="0" fillId="12" borderId="13" xfId="0" applyNumberFormat="1" applyFont="1" applyFill="1" applyBorder="1"/>
    <x:xf numFmtId="0" fontId="0" fillId="0" borderId="14" xfId="0" applyNumberFormat="1" applyFont="1" applyFill="1" applyBorder="1"/>
    <x:xf numFmtId="0" fontId="0" fillId="13" borderId="13" xfId="0" applyNumberFormat="1" applyFont="1" applyFill="1" applyBorder="1"/>
    <x:xf numFmtId="0" fontId="0" fillId="14" borderId="13" xfId="0" applyNumberFormat="1" applyFont="1" applyFill="1" applyBorder="1"/>
    <x:xf numFmtId="0" fontId="0" fillId="0" borderId="13" xfId="0" applyNumberFormat="1" applyFont="1" applyFill="1" applyBorder="1"/>
    <x:xf numFmtId="0" fontId="3" fillId="4" borderId="13" xfId="0" applyNumberFormat="1" applyFont="1" applyFill="1" applyBorder="1" applyAlignment="1">
      <x:alignment horizontal="center"/>
    </x:xf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5" fillId="11" borderId="7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horizontal="center" wrapText="1"/>
    </x:xf>
    <x:xf numFmtId="0" fontId="3" fillId="4" borderId="11" xfId="0" applyNumberFormat="1" applyFont="1" applyFill="1" applyBorder="1" applyAlignment="1">
      <x:alignment horizontal="center" wrapText="1"/>
    </x:xf>
    <x:xf numFmtId="0" fontId="3" fillId="4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horizontal="center" wrapText="1"/>
    </x:xf>
    <x:xf numFmtId="0" fontId="5" fillId="11" borderId="15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</x:font>
      <x:fill>
        <x:patternFill patternType="solid">
          <x:bgColor rgb="FFEDE9FE"/>
        </x:patternFill>
      </x:fill>
    </x:dxf>
    <x:dxf>
      <x:font>
        <x:b/>
      </x:font>
      <x:fill>
        <x:patternFill patternType="solid">
          <x:bgColor rgb="FFDDD6FE"/>
        </x:patternFill>
      </x:fill>
    </x:dxf>
    <x:dxf>
      <x:font>
        <x:b/>
      </x:font>
      <x:fill>
        <x:patternFill patternType="solid">
          <x:bgColor rgb="FFDBEAFE"/>
        </x:patternFill>
      </x:fill>
    </x:dxf>
    <x:dxf>
      <x:font>
        <x:b/>
      </x:font>
      <x:fill>
        <x:patternFill patternType="solid">
          <x:bgColor rgb="FFBFDBFE"/>
        </x:patternFill>
      </x:fill>
    </x:dxf>
    <x:dxf>
      <x:font>
        <x:b/>
      </x:font>
      <x:fill>
        <x:patternFill patternType="solid">
          <x:bgColor rgb="FFCFFAFE"/>
        </x:patternFill>
      </x:fill>
    </x:dxf>
    <x:dxf>
      <x:font>
        <x:b/>
      </x:font>
      <x:fill>
        <x:patternFill patternType="solid">
          <x:bgColor rgb="FFA5F3FC"/>
        </x:patternFill>
      </x:fill>
    </x:dxf>
    <x:dxf>
      <x:font>
        <x:b/>
      </x:font>
      <x:fill>
        <x:patternFill patternType="solid">
          <x:bgColor rgb="FFFEF3C7"/>
        </x:patternFill>
      </x:fill>
    </x:dxf>
    <x:dxf>
      <x:font>
        <x:b/>
      </x:font>
      <x:fill>
        <x:patternFill patternType="solid">
          <x:bgColor rgb="FFFDE68A"/>
        </x:patternFill>
      </x:fill>
    </x:dxf>
    <x:dxf>
      <x:font>
        <x:b/>
      </x:font>
      <x:fill>
        <x:patternFill patternType="solid">
          <x:bgColor rgb="FFFED7AA"/>
        </x:patternFill>
      </x:fill>
    </x:dxf>
    <x:dxf>
      <x:font>
        <x:b/>
      </x:font>
      <x:fill>
        <x:patternFill patternType="solid">
          <x:bgColor rgb="FFFDBA7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afc7ad66d34c67" /><Relationship Type="http://schemas.openxmlformats.org/officeDocument/2006/relationships/theme" Target="/xl/theme/theme1.xml" Id="Rf1af4c28033a49c3" /><Relationship Type="http://schemas.openxmlformats.org/officeDocument/2006/relationships/sharedStrings" Target="/xl/sharedStrings.xml" Id="Rb5a87b4d391440f3" /><Relationship Type="http://schemas.openxmlformats.org/officeDocument/2006/relationships/worksheet" Target="/xl/worksheets/sheet1.xml" Id="R7850ea8396274bc2" /><Relationship Type="http://schemas.openxmlformats.org/officeDocument/2006/relationships/worksheet" Target="/xl/worksheets/sheet2.xml" Id="R4429e5be8e5e4ff6" /><Relationship Type="http://schemas.openxmlformats.org/officeDocument/2006/relationships/worksheet" Target="/xl/worksheets/sheet3.xml" Id="R36219f1138714ad8" /><Relationship Type="http://schemas.openxmlformats.org/officeDocument/2006/relationships/worksheet" Target="/xl/worksheets/sheet4.xml" Id="R1545839b5d07468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1620838d3741f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일본 여자아이돌 체급점수 TOP 20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총점</c:v>
          </c:tx>
          <c:cat>
            <c:strRef>
              <c:f>'티어 요약'!$B$17:$B$36</c:f>
              <c:strCache>
                <c:ptCount val="0"/>
              </c:strCache>
            </c:strRef>
          </c:cat>
          <c:val>
            <c:numRef>
              <c:f>'티어 요약'!$C$17:$C$36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14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1620838d3741f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JapanIdolScores" displayName="JapanIdolScores" ref="A4:L130" headerRowCount="1" totalsRowCount="0" totalsRowShown="0">
  <x:tableColumns count="12">
    <x:tableColumn id="1" name="순위"/>
    <x:tableColumn id="2" name="그룹"/>
    <x:tableColumn id="3" name="공연·현장&#10;(25)"/>
    <x:tableColumn id="4" name="팬덤·구매력&#10;(20)"/>
    <x:tableColumn id="5" name="대중인지도&#10;(20)"/>
    <x:tableColumn id="6" name="스트리밍·SNS&#10;(15)"/>
    <x:tableColumn id="7" name="현재 기세&#10;(10)"/>
    <x:tableColumn id="8" name="업계 영향력&#10;(10)"/>
    <x:tableColumn id="9" name="총점"/>
    <x:tableColumn id="10" name="등급"/>
    <x:tableColumn id="11" name="평가 신뢰도"/>
    <x:tableColumn id="12" name="평가 메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44e90d16ee740b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81eec669b89453b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1" hidden="0" customWidth="1"/>
    <x:col min="8" max="8" width="13" hidden="0" customWidth="1"/>
    <x:col min="9" max="9" width="9" hidden="0" customWidth="1"/>
    <x:col min="10" max="10" width="9" hidden="0" customWidth="1"/>
    <x:col min="11" max="11" width="12" hidden="0" customWidth="1"/>
    <x:col min="12" max="12" width="42" hidden="0" customWidth="1"/>
  </x:cols>
  <x:sheetData>
    <x:row r="1" ht="30" customHeight="1">
      <x:c r="A1" s="5" t="str">
        <x:v>2026 일본 여자아이돌 체급 점수표</x:v>
      </x:c>
    </x:row>
    <x:row r="2" ht="22" customHeight="1">
      <x:c r="A2" s="13" t="str">
        <x:v>기준일 2026-09-15 · 공연/현장 25 + 팬덤/구매력 20 + 대중인지도 20 + 스트리밍/SNS 15 + 현재기세 10 + 업계영향력 10 = 100점</x:v>
      </x:c>
    </x:row>
    <x:row r="4" ht="34" customHeight="1">
      <x:c r="A4" s="36" t="str">
        <x:v>순위</x:v>
      </x:c>
      <x:c r="B4" s="37" t="str">
        <x:v>그룹</x:v>
      </x:c>
      <x:c r="C4" s="37" t="str">
        <x:v>공연·현장
(25)</x:v>
      </x:c>
      <x:c r="D4" s="37" t="str">
        <x:v>팬덤·구매력
(20)</x:v>
      </x:c>
      <x:c r="E4" s="37" t="str">
        <x:v>대중인지도
(20)</x:v>
      </x:c>
      <x:c r="F4" s="37" t="str">
        <x:v>스트리밍·SNS
(15)</x:v>
      </x:c>
      <x:c r="G4" s="37" t="str">
        <x:v>현재 기세
(10)</x:v>
      </x:c>
      <x:c r="H4" s="37" t="str">
        <x:v>업계 영향력
(10)</x:v>
      </x:c>
      <x:c r="I4" s="37" t="str">
        <x:v>총점</x:v>
      </x:c>
      <x:c r="J4" s="37" t="str">
        <x:v>등급</x:v>
      </x:c>
      <x:c r="K4" s="37" t="str">
        <x:v>평가 신뢰도</x:v>
      </x:c>
      <x:c r="L4" s="38" t="str">
        <x:v>평가 메모</x:v>
      </x:c>
    </x:row>
    <x:row r="5">
      <x:c r="A5" s="39" t="n">
        <x:f>RANK(I5,$I$5:$I$130,0)</x:f>
        <x:v>1</x:v>
      </x:c>
      <x:c r="B5" s="29" t="str">
        <x:v>=LOVE</x:v>
      </x:c>
      <x:c r="C5" s="32" t="n">
        <x:v>25</x:v>
      </x:c>
      <x:c r="D5" s="32" t="n">
        <x:v>20</x:v>
      </x:c>
      <x:c r="E5" s="32" t="n">
        <x:v>18</x:v>
      </x:c>
      <x:c r="F5" s="32" t="n">
        <x:v>15</x:v>
      </x:c>
      <x:c r="G5" s="32" t="n">
        <x:v>10</x:v>
      </x:c>
      <x:c r="H5" s="32" t="n">
        <x:v>9</x:v>
      </x:c>
      <x:c r="I5" s="32" t="n">
        <x:f>SUM(C5:H5)</x:f>
        <x:v>97</x:v>
      </x:c>
      <x:c r="J5" s="32" t="str">
        <x:f>IF(I5&gt;=90,"S+",IF(I5&gt;=80,"S",IF(I5&gt;=70,"A+",IF(I5&gt;=60,"A",IF(I5&gt;=50,"B+",IF(I5&gt;=40,"B",IF(I5&gt;=30,"C+",IF(I5&gt;=20,"C",IF(I5&gt;=10,"D+","D")))))))))</x:f>
        <x:v>S+</x:v>
      </x:c>
      <x:c r="K5" s="32" t="str">
        <x:v>높음</x:v>
      </x:c>
      <x:c r="L5" s="40" t="str">
        <x:v>메이저/중상위권: 복수의 공개 지표와 공연·화제성 자료 반영</x:v>
      </x:c>
    </x:row>
    <x:row r="6">
      <x:c r="A6" s="39" t="n">
        <x:f>RANK(I6,$I$5:$I$130,0)</x:f>
        <x:v>2</x:v>
      </x:c>
      <x:c r="B6" s="29" t="str">
        <x:v>乃木坂46</x:v>
      </x:c>
      <x:c r="C6" s="32" t="n">
        <x:v>24</x:v>
      </x:c>
      <x:c r="D6" s="32" t="n">
        <x:v>20</x:v>
      </x:c>
      <x:c r="E6" s="32" t="n">
        <x:v>20</x:v>
      </x:c>
      <x:c r="F6" s="32" t="n">
        <x:v>13</x:v>
      </x:c>
      <x:c r="G6" s="32" t="n">
        <x:v>8</x:v>
      </x:c>
      <x:c r="H6" s="32" t="n">
        <x:v>10</x:v>
      </x:c>
      <x:c r="I6" s="32" t="n">
        <x:f>SUM(C6:H6)</x:f>
        <x:v>95</x:v>
      </x:c>
      <x:c r="J6" s="32" t="str">
        <x:f>IF(I6&gt;=90,"S+",IF(I6&gt;=80,"S",IF(I6&gt;=70,"A+",IF(I6&gt;=60,"A",IF(I6&gt;=50,"B+",IF(I6&gt;=40,"B",IF(I6&gt;=30,"C+",IF(I6&gt;=20,"C",IF(I6&gt;=10,"D+","D")))))))))</x:f>
        <x:v>S+</x:v>
      </x:c>
      <x:c r="K6" s="32" t="str">
        <x:v>높음</x:v>
      </x:c>
      <x:c r="L6" s="40" t="str">
        <x:v>메이저/중상위권: 복수의 공개 지표와 공연·화제성 자료 반영</x:v>
      </x:c>
    </x:row>
    <x:row r="7">
      <x:c r="A7" s="39" t="n">
        <x:f>RANK(I7,$I$5:$I$130,0)</x:f>
        <x:v>3</x:v>
      </x:c>
      <x:c r="B7" s="29" t="str">
        <x:v>FRUITS ZIPPER</x:v>
      </x:c>
      <x:c r="C7" s="32" t="n">
        <x:v>24</x:v>
      </x:c>
      <x:c r="D7" s="32" t="n">
        <x:v>20</x:v>
      </x:c>
      <x:c r="E7" s="32" t="n">
        <x:v>18</x:v>
      </x:c>
      <x:c r="F7" s="32" t="n">
        <x:v>14</x:v>
      </x:c>
      <x:c r="G7" s="32" t="n">
        <x:v>10</x:v>
      </x:c>
      <x:c r="H7" s="32" t="n">
        <x:v>8</x:v>
      </x:c>
      <x:c r="I7" s="32" t="n">
        <x:f>SUM(C7:H7)</x:f>
        <x:v>94</x:v>
      </x:c>
      <x:c r="J7" s="32" t="str">
        <x:f>IF(I7&gt;=90,"S+",IF(I7&gt;=80,"S",IF(I7&gt;=70,"A+",IF(I7&gt;=60,"A",IF(I7&gt;=50,"B+",IF(I7&gt;=40,"B",IF(I7&gt;=30,"C+",IF(I7&gt;=20,"C",IF(I7&gt;=10,"D+","D")))))))))</x:f>
        <x:v>S+</x:v>
      </x:c>
      <x:c r="K7" s="32" t="str">
        <x:v>높음</x:v>
      </x:c>
      <x:c r="L7" s="40" t="str">
        <x:v>메이저/중상위권: 복수의 공개 지표와 공연·화제성 자료 반영</x:v>
      </x:c>
    </x:row>
    <x:row r="8">
      <x:c r="A8" s="39" t="n">
        <x:f>RANK(I8,$I$5:$I$130,0)</x:f>
        <x:v>4</x:v>
      </x:c>
      <x:c r="B8" s="29" t="str">
        <x:v>HANA</x:v>
      </x:c>
      <x:c r="C8" s="32" t="n">
        <x:v>20</x:v>
      </x:c>
      <x:c r="D8" s="32" t="n">
        <x:v>17</x:v>
      </x:c>
      <x:c r="E8" s="32" t="n">
        <x:v>20</x:v>
      </x:c>
      <x:c r="F8" s="32" t="n">
        <x:v>15</x:v>
      </x:c>
      <x:c r="G8" s="32" t="n">
        <x:v>10</x:v>
      </x:c>
      <x:c r="H8" s="32" t="n">
        <x:v>9</x:v>
      </x:c>
      <x:c r="I8" s="32" t="n">
        <x:f>SUM(C8:H8)</x:f>
        <x:v>91</x:v>
      </x:c>
      <x:c r="J8" s="32" t="str">
        <x:f>IF(I8&gt;=90,"S+",IF(I8&gt;=80,"S",IF(I8&gt;=70,"A+",IF(I8&gt;=60,"A",IF(I8&gt;=50,"B+",IF(I8&gt;=40,"B",IF(I8&gt;=30,"C+",IF(I8&gt;=20,"C",IF(I8&gt;=10,"D+","D")))))))))</x:f>
        <x:v>S+</x:v>
      </x:c>
      <x:c r="K8" s="32" t="str">
        <x:v>높음</x:v>
      </x:c>
      <x:c r="L8" s="40" t="str">
        <x:v>메이저/중상위권: 복수의 공개 지표와 공연·화제성 자료 반영</x:v>
      </x:c>
    </x:row>
    <x:row r="9">
      <x:c r="A9" s="39" t="n">
        <x:f>RANK(I9,$I$5:$I$130,0)</x:f>
        <x:v>5</x:v>
      </x:c>
      <x:c r="B9" s="29" t="str">
        <x:v>NiziU</x:v>
      </x:c>
      <x:c r="C9" s="32" t="n">
        <x:v>24</x:v>
      </x:c>
      <x:c r="D9" s="32" t="n">
        <x:v>17</x:v>
      </x:c>
      <x:c r="E9" s="32" t="n">
        <x:v>17</x:v>
      </x:c>
      <x:c r="F9" s="32" t="n">
        <x:v>13</x:v>
      </x:c>
      <x:c r="G9" s="32" t="n">
        <x:v>7</x:v>
      </x:c>
      <x:c r="H9" s="32" t="n">
        <x:v>9</x:v>
      </x:c>
      <x:c r="I9" s="32" t="n">
        <x:f>SUM(C9:H9)</x:f>
        <x:v>87</x:v>
      </x:c>
      <x:c r="J9" s="32" t="str">
        <x:f>IF(I9&gt;=90,"S+",IF(I9&gt;=80,"S",IF(I9&gt;=70,"A+",IF(I9&gt;=60,"A",IF(I9&gt;=50,"B+",IF(I9&gt;=40,"B",IF(I9&gt;=30,"C+",IF(I9&gt;=20,"C",IF(I9&gt;=10,"D+","D")))))))))</x:f>
        <x:v>S</x:v>
      </x:c>
      <x:c r="K9" s="32" t="str">
        <x:v>높음</x:v>
      </x:c>
      <x:c r="L9" s="40" t="str">
        <x:v>메이저/중상위권: 복수의 공개 지표와 공연·화제성 자료 반영</x:v>
      </x:c>
    </x:row>
    <x:row r="10">
      <x:c r="A10" s="39" t="n">
        <x:f>RANK(I10,$I$5:$I$130,0)</x:f>
        <x:v>6</x:v>
      </x:c>
      <x:c r="B10" s="29" t="str">
        <x:v>CUTIE STREET</x:v>
      </x:c>
      <x:c r="C10" s="32" t="n">
        <x:v>20</x:v>
      </x:c>
      <x:c r="D10" s="32" t="n">
        <x:v>17</x:v>
      </x:c>
      <x:c r="E10" s="32" t="n">
        <x:v>16</x:v>
      </x:c>
      <x:c r="F10" s="32" t="n">
        <x:v>14</x:v>
      </x:c>
      <x:c r="G10" s="32" t="n">
        <x:v>10</x:v>
      </x:c>
      <x:c r="H10" s="32" t="n">
        <x:v>7</x:v>
      </x:c>
      <x:c r="I10" s="32" t="n">
        <x:f>SUM(C10:H10)</x:f>
        <x:v>84</x:v>
      </x:c>
      <x:c r="J10" s="32" t="str">
        <x:f>IF(I10&gt;=90,"S+",IF(I10&gt;=80,"S",IF(I10&gt;=70,"A+",IF(I10&gt;=60,"A",IF(I10&gt;=50,"B+",IF(I10&gt;=40,"B",IF(I10&gt;=30,"C+",IF(I10&gt;=20,"C",IF(I10&gt;=10,"D+","D")))))))))</x:f>
        <x:v>S</x:v>
      </x:c>
      <x:c r="K10" s="32" t="str">
        <x:v>높음</x:v>
      </x:c>
      <x:c r="L10" s="40" t="str">
        <x:v>메이저/중상위권: 복수의 공개 지표와 공연·화제성 자료 반영</x:v>
      </x:c>
    </x:row>
    <x:row r="11">
      <x:c r="A11" s="39" t="n">
        <x:f>RANK(I11,$I$5:$I$130,0)</x:f>
        <x:v>6</x:v>
      </x:c>
      <x:c r="B11" s="29" t="str">
        <x:v>櫻坂46</x:v>
      </x:c>
      <x:c r="C11" s="32" t="n">
        <x:v>22</x:v>
      </x:c>
      <x:c r="D11" s="32" t="n">
        <x:v>19</x:v>
      </x:c>
      <x:c r="E11" s="32" t="n">
        <x:v>17</x:v>
      </x:c>
      <x:c r="F11" s="32" t="n">
        <x:v>11</x:v>
      </x:c>
      <x:c r="G11" s="32" t="n">
        <x:v>7</x:v>
      </x:c>
      <x:c r="H11" s="32" t="n">
        <x:v>8</x:v>
      </x:c>
      <x:c r="I11" s="32" t="n">
        <x:f>SUM(C11:H11)</x:f>
        <x:v>84</x:v>
      </x:c>
      <x:c r="J11" s="32" t="str">
        <x:f>IF(I11&gt;=90,"S+",IF(I11&gt;=80,"S",IF(I11&gt;=70,"A+",IF(I11&gt;=60,"A",IF(I11&gt;=50,"B+",IF(I11&gt;=40,"B",IF(I11&gt;=30,"C+",IF(I11&gt;=20,"C",IF(I11&gt;=10,"D+","D")))))))))</x:f>
        <x:v>S</x:v>
      </x:c>
      <x:c r="K11" s="32" t="str">
        <x:v>높음</x:v>
      </x:c>
      <x:c r="L11" s="40" t="str">
        <x:v>메이저/중상위권: 복수의 공개 지표와 공연·화제성 자료 반영</x:v>
      </x:c>
    </x:row>
    <x:row r="12">
      <x:c r="A12" s="39" t="n">
        <x:f>RANK(I12,$I$5:$I$130,0)</x:f>
        <x:v>8</x:v>
      </x:c>
      <x:c r="B12" s="29" t="str">
        <x:v>日向坂46</x:v>
      </x:c>
      <x:c r="C12" s="32" t="n">
        <x:v>21</x:v>
      </x:c>
      <x:c r="D12" s="32" t="n">
        <x:v>18</x:v>
      </x:c>
      <x:c r="E12" s="32" t="n">
        <x:v>17</x:v>
      </x:c>
      <x:c r="F12" s="32" t="n">
        <x:v>10</x:v>
      </x:c>
      <x:c r="G12" s="32" t="n">
        <x:v>7</x:v>
      </x:c>
      <x:c r="H12" s="32" t="n">
        <x:v>8</x:v>
      </x:c>
      <x:c r="I12" s="32" t="n">
        <x:f>SUM(C12:H12)</x:f>
        <x:v>81</x:v>
      </x:c>
      <x:c r="J12" s="32" t="str">
        <x:f>IF(I12&gt;=90,"S+",IF(I12&gt;=80,"S",IF(I12&gt;=70,"A+",IF(I12&gt;=60,"A",IF(I12&gt;=50,"B+",IF(I12&gt;=40,"B",IF(I12&gt;=30,"C+",IF(I12&gt;=20,"C",IF(I12&gt;=10,"D+","D")))))))))</x:f>
        <x:v>S</x:v>
      </x:c>
      <x:c r="K12" s="32" t="str">
        <x:v>높음</x:v>
      </x:c>
      <x:c r="L12" s="40" t="str">
        <x:v>메이저/중상위권: 복수의 공개 지표와 공연·화제성 자료 반영</x:v>
      </x:c>
    </x:row>
    <x:row r="13">
      <x:c r="A13" s="39" t="n">
        <x:f>RANK(I13,$I$5:$I$130,0)</x:f>
        <x:v>9</x:v>
      </x:c>
      <x:c r="B13" s="29" t="str">
        <x:v>AKB48</x:v>
      </x:c>
      <x:c r="C13" s="32" t="n">
        <x:v>18</x:v>
      </x:c>
      <x:c r="D13" s="32" t="n">
        <x:v>18</x:v>
      </x:c>
      <x:c r="E13" s="32" t="n">
        <x:v>20</x:v>
      </x:c>
      <x:c r="F13" s="32" t="n">
        <x:v>9</x:v>
      </x:c>
      <x:c r="G13" s="32" t="n">
        <x:v>6</x:v>
      </x:c>
      <x:c r="H13" s="32" t="n">
        <x:v>9</x:v>
      </x:c>
      <x:c r="I13" s="32" t="n">
        <x:f>SUM(C13:H13)</x:f>
        <x:v>80</x:v>
      </x:c>
      <x:c r="J13" s="32" t="str">
        <x:f>IF(I13&gt;=90,"S+",IF(I13&gt;=80,"S",IF(I13&gt;=70,"A+",IF(I13&gt;=60,"A",IF(I13&gt;=50,"B+",IF(I13&gt;=40,"B",IF(I13&gt;=30,"C+",IF(I13&gt;=20,"C",IF(I13&gt;=10,"D+","D")))))))))</x:f>
        <x:v>S</x:v>
      </x:c>
      <x:c r="K13" s="32" t="str">
        <x:v>높음</x:v>
      </x:c>
      <x:c r="L13" s="40" t="str">
        <x:v>메이저/중상위권: 복수의 공개 지표와 공연·화제성 자료 반영</x:v>
      </x:c>
    </x:row>
    <x:row r="14">
      <x:c r="A14" s="39" t="n">
        <x:f>RANK(I14,$I$5:$I$130,0)</x:f>
        <x:v>9</x:v>
      </x:c>
      <x:c r="B14" s="29" t="str">
        <x:v>iLiFE!</x:v>
      </x:c>
      <x:c r="C14" s="32" t="n">
        <x:v>22</x:v>
      </x:c>
      <x:c r="D14" s="32" t="n">
        <x:v>17</x:v>
      </x:c>
      <x:c r="E14" s="32" t="n">
        <x:v>12</x:v>
      </x:c>
      <x:c r="F14" s="32" t="n">
        <x:v>13</x:v>
      </x:c>
      <x:c r="G14" s="32" t="n">
        <x:v>9</x:v>
      </x:c>
      <x:c r="H14" s="32" t="n">
        <x:v>7</x:v>
      </x:c>
      <x:c r="I14" s="32" t="n">
        <x:f>SUM(C14:H14)</x:f>
        <x:v>80</x:v>
      </x:c>
      <x:c r="J14" s="32" t="str">
        <x:f>IF(I14&gt;=90,"S+",IF(I14&gt;=80,"S",IF(I14&gt;=70,"A+",IF(I14&gt;=60,"A",IF(I14&gt;=50,"B+",IF(I14&gt;=40,"B",IF(I14&gt;=30,"C+",IF(I14&gt;=20,"C",IF(I14&gt;=10,"D+","D")))))))))</x:f>
        <x:v>S</x:v>
      </x:c>
      <x:c r="K14" s="32" t="str">
        <x:v>높음</x:v>
      </x:c>
      <x:c r="L14" s="40" t="str">
        <x:v>메이저/중상위권: 복수의 공개 지표와 공연·화제성 자료 반영</x:v>
      </x:c>
    </x:row>
    <x:row r="15">
      <x:c r="A15" s="39" t="n">
        <x:f>RANK(I15,$I$5:$I$130,0)</x:f>
        <x:v>9</x:v>
      </x:c>
      <x:c r="B15" s="29" t="str">
        <x:v>超ときめき♡宣伝部</x:v>
      </x:c>
      <x:c r="C15" s="32" t="n">
        <x:v>21</x:v>
      </x:c>
      <x:c r="D15" s="32" t="n">
        <x:v>16</x:v>
      </x:c>
      <x:c r="E15" s="32" t="n">
        <x:v>16</x:v>
      </x:c>
      <x:c r="F15" s="32" t="n">
        <x:v>12</x:v>
      </x:c>
      <x:c r="G15" s="32" t="n">
        <x:v>8</x:v>
      </x:c>
      <x:c r="H15" s="32" t="n">
        <x:v>7</x:v>
      </x:c>
      <x:c r="I15" s="32" t="n">
        <x:f>SUM(C15:H15)</x:f>
        <x:v>80</x:v>
      </x:c>
      <x:c r="J15" s="32" t="str">
        <x:f>IF(I15&gt;=90,"S+",IF(I15&gt;=80,"S",IF(I15&gt;=70,"A+",IF(I15&gt;=60,"A",IF(I15&gt;=50,"B+",IF(I15&gt;=40,"B",IF(I15&gt;=30,"C+",IF(I15&gt;=20,"C",IF(I15&gt;=10,"D+","D")))))))))</x:f>
        <x:v>S</x:v>
      </x:c>
      <x:c r="K15" s="32" t="str">
        <x:v>높음</x:v>
      </x:c>
      <x:c r="L15" s="40" t="str">
        <x:v>메이저/중상위권: 복수의 공개 지표와 공연·화제성 자료 반영</x:v>
      </x:c>
    </x:row>
    <x:row r="16">
      <x:c r="A16" s="39" t="n">
        <x:f>RANK(I16,$I$5:$I$130,0)</x:f>
        <x:v>12</x:v>
      </x:c>
      <x:c r="B16" s="29" t="str">
        <x:v>CANDY TUNE</x:v>
      </x:c>
      <x:c r="C16" s="32" t="n">
        <x:v>17</x:v>
      </x:c>
      <x:c r="D16" s="32" t="n">
        <x:v>15</x:v>
      </x:c>
      <x:c r="E16" s="32" t="n">
        <x:v>15</x:v>
      </x:c>
      <x:c r="F16" s="32" t="n">
        <x:v>15</x:v>
      </x:c>
      <x:c r="G16" s="32" t="n">
        <x:v>9</x:v>
      </x:c>
      <x:c r="H16" s="32" t="n">
        <x:v>7</x:v>
      </x:c>
      <x:c r="I16" s="32" t="n">
        <x:f>SUM(C16:H16)</x:f>
        <x:v>78</x:v>
      </x:c>
      <x:c r="J16" s="32" t="str">
        <x:f>IF(I16&gt;=90,"S+",IF(I16&gt;=80,"S",IF(I16&gt;=70,"A+",IF(I16&gt;=60,"A",IF(I16&gt;=50,"B+",IF(I16&gt;=40,"B",IF(I16&gt;=30,"C+",IF(I16&gt;=20,"C",IF(I16&gt;=10,"D+","D")))))))))</x:f>
        <x:v>A+</x:v>
      </x:c>
      <x:c r="K16" s="32" t="str">
        <x:v>높음</x:v>
      </x:c>
      <x:c r="L16" s="40" t="str">
        <x:v>메이저/중상위권: 복수의 공개 지표와 공연·화제성 자료 반영</x:v>
      </x:c>
    </x:row>
    <x:row r="17">
      <x:c r="A17" s="39" t="n">
        <x:f>RANK(I17,$I$5:$I$130,0)</x:f>
        <x:v>12</x:v>
      </x:c>
      <x:c r="B17" s="29" t="str">
        <x:v>ME:I</x:v>
      </x:c>
      <x:c r="C17" s="32" t="n">
        <x:v>18</x:v>
      </x:c>
      <x:c r="D17" s="32" t="n">
        <x:v>17</x:v>
      </x:c>
      <x:c r="E17" s="32" t="n">
        <x:v>16</x:v>
      </x:c>
      <x:c r="F17" s="32" t="n">
        <x:v>12</x:v>
      </x:c>
      <x:c r="G17" s="32" t="n">
        <x:v>8</x:v>
      </x:c>
      <x:c r="H17" s="32" t="n">
        <x:v>7</x:v>
      </x:c>
      <x:c r="I17" s="32" t="n">
        <x:f>SUM(C17:H17)</x:f>
        <x:v>78</x:v>
      </x:c>
      <x:c r="J17" s="32" t="str">
        <x:f>IF(I17&gt;=90,"S+",IF(I17&gt;=80,"S",IF(I17&gt;=70,"A+",IF(I17&gt;=60,"A",IF(I17&gt;=50,"B+",IF(I17&gt;=40,"B",IF(I17&gt;=30,"C+",IF(I17&gt;=20,"C",IF(I17&gt;=10,"D+","D")))))))))</x:f>
        <x:v>A+</x:v>
      </x:c>
      <x:c r="K17" s="32" t="str">
        <x:v>높음</x:v>
      </x:c>
      <x:c r="L17" s="40" t="str">
        <x:v>메이저/중상위권: 복수의 공개 지표와 공연·화제성 자료 반영</x:v>
      </x:c>
    </x:row>
    <x:row r="18">
      <x:c r="A18" s="39" t="n">
        <x:f>RANK(I18,$I$5:$I$130,0)</x:f>
        <x:v>14</x:v>
      </x:c>
      <x:c r="B18" s="29" t="str">
        <x:v>i☆Ris</x:v>
      </x:c>
      <x:c r="C18" s="32" t="n">
        <x:v>20</x:v>
      </x:c>
      <x:c r="D18" s="32" t="n">
        <x:v>16</x:v>
      </x:c>
      <x:c r="E18" s="32" t="n">
        <x:v>14</x:v>
      </x:c>
      <x:c r="F18" s="32" t="n">
        <x:v>11</x:v>
      </x:c>
      <x:c r="G18" s="32" t="n">
        <x:v>7</x:v>
      </x:c>
      <x:c r="H18" s="32" t="n">
        <x:v>8</x:v>
      </x:c>
      <x:c r="I18" s="32" t="n">
        <x:f>SUM(C18:H18)</x:f>
        <x:v>76</x:v>
      </x:c>
      <x:c r="J18" s="32" t="str">
        <x:f>IF(I18&gt;=90,"S+",IF(I18&gt;=80,"S",IF(I18&gt;=70,"A+",IF(I18&gt;=60,"A",IF(I18&gt;=50,"B+",IF(I18&gt;=40,"B",IF(I18&gt;=30,"C+",IF(I18&gt;=20,"C",IF(I18&gt;=10,"D+","D")))))))))</x:f>
        <x:v>A+</x:v>
      </x:c>
      <x:c r="K18" s="32" t="str">
        <x:v>중간</x:v>
      </x:c>
      <x:c r="L18" s="40" t="str">
        <x:v>확장 전수조사군: 공개 공연·라인업·SNS·업계 활동을 기준으로 상대평가</x:v>
      </x:c>
    </x:row>
    <x:row r="19">
      <x:c r="A19" s="39" t="n">
        <x:f>RANK(I19,$I$5:$I$130,0)</x:f>
        <x:v>15</x:v>
      </x:c>
      <x:c r="B19" s="29" t="str">
        <x:v>≠ME</x:v>
      </x:c>
      <x:c r="C19" s="32" t="n">
        <x:v>18</x:v>
      </x:c>
      <x:c r="D19" s="32" t="n">
        <x:v>17</x:v>
      </x:c>
      <x:c r="E19" s="32" t="n">
        <x:v>14</x:v>
      </x:c>
      <x:c r="F19" s="32" t="n">
        <x:v>11</x:v>
      </x:c>
      <x:c r="G19" s="32" t="n">
        <x:v>8</x:v>
      </x:c>
      <x:c r="H19" s="32" t="n">
        <x:v>7</x:v>
      </x:c>
      <x:c r="I19" s="32" t="n">
        <x:f>SUM(C19:H19)</x:f>
        <x:v>75</x:v>
      </x:c>
      <x:c r="J19" s="32" t="str">
        <x:f>IF(I19&gt;=90,"S+",IF(I19&gt;=80,"S",IF(I19&gt;=70,"A+",IF(I19&gt;=60,"A",IF(I19&gt;=50,"B+",IF(I19&gt;=40,"B",IF(I19&gt;=30,"C+",IF(I19&gt;=20,"C",IF(I19&gt;=10,"D+","D")))))))))</x:f>
        <x:v>A+</x:v>
      </x:c>
      <x:c r="K19" s="32" t="str">
        <x:v>높음</x:v>
      </x:c>
      <x:c r="L19" s="40" t="str">
        <x:v>메이저/중상위권: 복수의 공개 지표와 공연·화제성 자료 반영</x:v>
      </x:c>
    </x:row>
    <x:row r="20">
      <x:c r="A20" s="39" t="n">
        <x:f>RANK(I20,$I$5:$I$130,0)</x:f>
        <x:v>16</x:v>
      </x:c>
      <x:c r="B20" s="29" t="str">
        <x:v>いぎなり東北産</x:v>
      </x:c>
      <x:c r="C20" s="32" t="n">
        <x:v>20</x:v>
      </x:c>
      <x:c r="D20" s="32" t="n">
        <x:v>15</x:v>
      </x:c>
      <x:c r="E20" s="32" t="n">
        <x:v>14</x:v>
      </x:c>
      <x:c r="F20" s="32" t="n">
        <x:v>8</x:v>
      </x:c>
      <x:c r="G20" s="32" t="n">
        <x:v>9</x:v>
      </x:c>
      <x:c r="H20" s="32" t="n">
        <x:v>8</x:v>
      </x:c>
      <x:c r="I20" s="32" t="n">
        <x:f>SUM(C20:H20)</x:f>
        <x:v>74</x:v>
      </x:c>
      <x:c r="J20" s="32" t="str">
        <x:f>IF(I20&gt;=90,"S+",IF(I20&gt;=80,"S",IF(I20&gt;=70,"A+",IF(I20&gt;=60,"A",IF(I20&gt;=50,"B+",IF(I20&gt;=40,"B",IF(I20&gt;=30,"C+",IF(I20&gt;=20,"C",IF(I20&gt;=10,"D+","D")))))))))</x:f>
        <x:v>A+</x:v>
      </x:c>
      <x:c r="K20" s="32" t="str">
        <x:v>중간</x:v>
      </x:c>
      <x:c r="L20" s="40" t="str">
        <x:v>확장 전수조사군: 공개 공연·라인업·SNS·업계 활동을 기준으로 상대평가</x:v>
      </x:c>
    </x:row>
    <x:row r="21">
      <x:c r="A21" s="39" t="n">
        <x:f>RANK(I21,$I$5:$I$130,0)</x:f>
        <x:v>17</x:v>
      </x:c>
      <x:c r="B21" s="29" t="str">
        <x:v>モーニング娘。'26</x:v>
      </x:c>
      <x:c r="C21" s="32" t="n">
        <x:v>18</x:v>
      </x:c>
      <x:c r="D21" s="32" t="n">
        <x:v>17</x:v>
      </x:c>
      <x:c r="E21" s="32" t="n">
        <x:v>17</x:v>
      </x:c>
      <x:c r="F21" s="32" t="n">
        <x:v>8</x:v>
      </x:c>
      <x:c r="G21" s="32" t="n">
        <x:v>6</x:v>
      </x:c>
      <x:c r="H21" s="32" t="n">
        <x:v>7</x:v>
      </x:c>
      <x:c r="I21" s="32" t="n">
        <x:f>SUM(C21:H21)</x:f>
        <x:v>73</x:v>
      </x:c>
      <x:c r="J21" s="32" t="str">
        <x:f>IF(I21&gt;=90,"S+",IF(I21&gt;=80,"S",IF(I21&gt;=70,"A+",IF(I21&gt;=60,"A",IF(I21&gt;=50,"B+",IF(I21&gt;=40,"B",IF(I21&gt;=30,"C+",IF(I21&gt;=20,"C",IF(I21&gt;=10,"D+","D")))))))))</x:f>
        <x:v>A+</x:v>
      </x:c>
      <x:c r="K21" s="32" t="str">
        <x:v>높음</x:v>
      </x:c>
      <x:c r="L21" s="40" t="str">
        <x:v>메이저/중상위권: 복수의 공개 지표와 공연·화제성 자료 반영</x:v>
      </x:c>
    </x:row>
    <x:row r="22">
      <x:c r="A22" s="39" t="n">
        <x:f>RANK(I22,$I$5:$I$130,0)</x:f>
        <x:v>18</x:v>
      </x:c>
      <x:c r="B22" s="29" t="str">
        <x:v>ももいろクローバーZ</x:v>
      </x:c>
      <x:c r="C22" s="32" t="n">
        <x:v>18</x:v>
      </x:c>
      <x:c r="D22" s="32" t="n">
        <x:v>15</x:v>
      </x:c>
      <x:c r="E22" s="32" t="n">
        <x:v>19</x:v>
      </x:c>
      <x:c r="F22" s="32" t="n">
        <x:v>8</x:v>
      </x:c>
      <x:c r="G22" s="32" t="n">
        <x:v>4</x:v>
      </x:c>
      <x:c r="H22" s="32" t="n">
        <x:v>7</x:v>
      </x:c>
      <x:c r="I22" s="32" t="n">
        <x:f>SUM(C22:H22)</x:f>
        <x:v>71</x:v>
      </x:c>
      <x:c r="J22" s="32" t="str">
        <x:f>IF(I22&gt;=90,"S+",IF(I22&gt;=80,"S",IF(I22&gt;=70,"A+",IF(I22&gt;=60,"A",IF(I22&gt;=50,"B+",IF(I22&gt;=40,"B",IF(I22&gt;=30,"C+",IF(I22&gt;=20,"C",IF(I22&gt;=10,"D+","D")))))))))</x:f>
        <x:v>A+</x:v>
      </x:c>
      <x:c r="K22" s="32" t="str">
        <x:v>높음</x:v>
      </x:c>
      <x:c r="L22" s="40" t="str">
        <x:v>메이저/중상위권: 복수의 공개 지표와 공연·화제성 자료 반영</x:v>
      </x:c>
    </x:row>
    <x:row r="23">
      <x:c r="A23" s="39" t="n">
        <x:f>RANK(I23,$I$5:$I$130,0)</x:f>
        <x:v>19</x:v>
      </x:c>
      <x:c r="B23" s="29" t="str">
        <x:v>Juice=Juice</x:v>
      </x:c>
      <x:c r="C23" s="32" t="n">
        <x:v>18</x:v>
      </x:c>
      <x:c r="D23" s="32" t="n">
        <x:v>16</x:v>
      </x:c>
      <x:c r="E23" s="32" t="n">
        <x:v>14</x:v>
      </x:c>
      <x:c r="F23" s="32" t="n">
        <x:v>8</x:v>
      </x:c>
      <x:c r="G23" s="32" t="n">
        <x:v>7</x:v>
      </x:c>
      <x:c r="H23" s="32" t="n">
        <x:v>7</x:v>
      </x:c>
      <x:c r="I23" s="32" t="n">
        <x:f>SUM(C23:H23)</x:f>
        <x:v>70</x:v>
      </x:c>
      <x:c r="J23" s="32" t="str">
        <x:f>IF(I23&gt;=90,"S+",IF(I23&gt;=80,"S",IF(I23&gt;=70,"A+",IF(I23&gt;=60,"A",IF(I23&gt;=50,"B+",IF(I23&gt;=40,"B",IF(I23&gt;=30,"C+",IF(I23&gt;=20,"C",IF(I23&gt;=10,"D+","D")))))))))</x:f>
        <x:v>A+</x:v>
      </x:c>
      <x:c r="K23" s="32" t="str">
        <x:v>높음</x:v>
      </x:c>
      <x:c r="L23" s="40" t="str">
        <x:v>메이저/중상위권: 복수의 공개 지표와 공연·화제성 자료 반영</x:v>
      </x:c>
    </x:row>
    <x:row r="24">
      <x:c r="A24" s="39" t="n">
        <x:f>RANK(I24,$I$5:$I$130,0)</x:f>
        <x:v>20</x:v>
      </x:c>
      <x:c r="B24" s="29" t="str">
        <x:v>SWEET STEADY</x:v>
      </x:c>
      <x:c r="C24" s="32" t="n">
        <x:v>14</x:v>
      </x:c>
      <x:c r="D24" s="32" t="n">
        <x:v>13</x:v>
      </x:c>
      <x:c r="E24" s="32" t="n">
        <x:v>12</x:v>
      </x:c>
      <x:c r="F24" s="32" t="n">
        <x:v>12</x:v>
      </x:c>
      <x:c r="G24" s="32" t="n">
        <x:v>9</x:v>
      </x:c>
      <x:c r="H24" s="32" t="n">
        <x:v>7</x:v>
      </x:c>
      <x:c r="I24" s="32" t="n">
        <x:f>SUM(C24:H24)</x:f>
        <x:v>67</x:v>
      </x:c>
      <x:c r="J24" s="32" t="str">
        <x:f>IF(I24&gt;=90,"S+",IF(I24&gt;=80,"S",IF(I24&gt;=70,"A+",IF(I24&gt;=60,"A",IF(I24&gt;=50,"B+",IF(I24&gt;=40,"B",IF(I24&gt;=30,"C+",IF(I24&gt;=20,"C",IF(I24&gt;=10,"D+","D")))))))))</x:f>
        <x:v>A</x:v>
      </x:c>
      <x:c r="K24" s="32" t="str">
        <x:v>높음</x:v>
      </x:c>
      <x:c r="L24" s="40" t="str">
        <x:v>메이저/중상위권: 복수의 공개 지표와 공연·화제성 자료 반영</x:v>
      </x:c>
    </x:row>
    <x:row r="25">
      <x:c r="A25" s="39" t="n">
        <x:f>RANK(I25,$I$5:$I$130,0)</x:f>
        <x:v>20</x:v>
      </x:c>
      <x:c r="B25" s="29" t="str">
        <x:v>≒JOY</x:v>
      </x:c>
      <x:c r="C25" s="32" t="n">
        <x:v>15</x:v>
      </x:c>
      <x:c r="D25" s="32" t="n">
        <x:v>15</x:v>
      </x:c>
      <x:c r="E25" s="32" t="n">
        <x:v>12</x:v>
      </x:c>
      <x:c r="F25" s="32" t="n">
        <x:v>10</x:v>
      </x:c>
      <x:c r="G25" s="32" t="n">
        <x:v>8</x:v>
      </x:c>
      <x:c r="H25" s="32" t="n">
        <x:v>7</x:v>
      </x:c>
      <x:c r="I25" s="32" t="n">
        <x:f>SUM(C25:H25)</x:f>
        <x:v>67</x:v>
      </x:c>
      <x:c r="J25" s="32" t="str">
        <x:f>IF(I25&gt;=90,"S+",IF(I25&gt;=80,"S",IF(I25&gt;=70,"A+",IF(I25&gt;=60,"A",IF(I25&gt;=50,"B+",IF(I25&gt;=40,"B",IF(I25&gt;=30,"C+",IF(I25&gt;=20,"C",IF(I25&gt;=10,"D+","D")))))))))</x:f>
        <x:v>A</x:v>
      </x:c>
      <x:c r="K25" s="32" t="str">
        <x:v>높음</x:v>
      </x:c>
      <x:c r="L25" s="40" t="str">
        <x:v>메이저/중상위권: 복수의 공개 지표와 공연·화제성 자료 반영</x:v>
      </x:c>
    </x:row>
    <x:row r="26">
      <x:c r="A26" s="39" t="n">
        <x:f>RANK(I26,$I$5:$I$130,0)</x:f>
        <x:v>22</x:v>
      </x:c>
      <x:c r="B26" s="29" t="str">
        <x:v>HKT48</x:v>
      </x:c>
      <x:c r="C26" s="32" t="n">
        <x:v>15</x:v>
      </x:c>
      <x:c r="D26" s="32" t="n">
        <x:v>15</x:v>
      </x:c>
      <x:c r="E26" s="32" t="n">
        <x:v>15</x:v>
      </x:c>
      <x:c r="F26" s="32" t="n">
        <x:v>7</x:v>
      </x:c>
      <x:c r="G26" s="32" t="n">
        <x:v>6</x:v>
      </x:c>
      <x:c r="H26" s="32" t="n">
        <x:v>8</x:v>
      </x:c>
      <x:c r="I26" s="32" t="n">
        <x:f>SUM(C26:H26)</x:f>
        <x:v>66</x:v>
      </x:c>
      <x:c r="J26" s="32" t="str">
        <x:f>IF(I26&gt;=90,"S+",IF(I26&gt;=80,"S",IF(I26&gt;=70,"A+",IF(I26&gt;=60,"A",IF(I26&gt;=50,"B+",IF(I26&gt;=40,"B",IF(I26&gt;=30,"C+",IF(I26&gt;=20,"C",IF(I26&gt;=10,"D+","D")))))))))</x:f>
        <x:v>A</x:v>
      </x:c>
      <x:c r="K26" s="32" t="str">
        <x:v>중상</x:v>
      </x:c>
      <x:c r="L26" s="40" t="str">
        <x:v>라이브/중소권: 공연장·이벤트·SNS·인지도 자료를 교차 반영</x:v>
      </x:c>
    </x:row>
    <x:row r="27">
      <x:c r="A27" s="39" t="n">
        <x:f>RANK(I27,$I$5:$I$130,0)</x:f>
        <x:v>23</x:v>
      </x:c>
      <x:c r="B27" s="29" t="str">
        <x:v>高嶺のなでしこ</x:v>
      </x:c>
      <x:c r="C27" s="32" t="n">
        <x:v>14</x:v>
      </x:c>
      <x:c r="D27" s="32" t="n">
        <x:v>13</x:v>
      </x:c>
      <x:c r="E27" s="32" t="n">
        <x:v>12</x:v>
      </x:c>
      <x:c r="F27" s="32" t="n">
        <x:v>11</x:v>
      </x:c>
      <x:c r="G27" s="32" t="n">
        <x:v>8</x:v>
      </x:c>
      <x:c r="H27" s="32" t="n">
        <x:v>7</x:v>
      </x:c>
      <x:c r="I27" s="32" t="n">
        <x:f>SUM(C27:H27)</x:f>
        <x:v>65</x:v>
      </x:c>
      <x:c r="J27" s="32" t="str">
        <x:f>IF(I27&gt;=90,"S+",IF(I27&gt;=80,"S",IF(I27&gt;=70,"A+",IF(I27&gt;=60,"A",IF(I27&gt;=50,"B+",IF(I27&gt;=40,"B",IF(I27&gt;=30,"C+",IF(I27&gt;=20,"C",IF(I27&gt;=10,"D+","D")))))))))</x:f>
        <x:v>A</x:v>
      </x:c>
      <x:c r="K27" s="32" t="str">
        <x:v>높음</x:v>
      </x:c>
      <x:c r="L27" s="40" t="str">
        <x:v>메이저/중상위권: 복수의 공개 지표와 공연·화제성 자료 반영</x:v>
      </x:c>
    </x:row>
    <x:row r="28">
      <x:c r="A28" s="39" t="n">
        <x:f>RANK(I28,$I$5:$I$130,0)</x:f>
        <x:v>24</x:v>
      </x:c>
      <x:c r="B28" s="29" t="str">
        <x:v>PassCode</x:v>
      </x:c>
      <x:c r="C28" s="32" t="n">
        <x:v>19</x:v>
      </x:c>
      <x:c r="D28" s="32" t="n">
        <x:v>13</x:v>
      </x:c>
      <x:c r="E28" s="32" t="n">
        <x:v>10</x:v>
      </x:c>
      <x:c r="F28" s="32" t="n">
        <x:v>9</x:v>
      </x:c>
      <x:c r="G28" s="32" t="n">
        <x:v>6</x:v>
      </x:c>
      <x:c r="H28" s="32" t="n">
        <x:v>7</x:v>
      </x:c>
      <x:c r="I28" s="32" t="n">
        <x:f>SUM(C28:H28)</x:f>
        <x:v>64</x:v>
      </x:c>
      <x:c r="J28" s="32" t="str">
        <x:f>IF(I28&gt;=90,"S+",IF(I28&gt;=80,"S",IF(I28&gt;=70,"A+",IF(I28&gt;=60,"A",IF(I28&gt;=50,"B+",IF(I28&gt;=40,"B",IF(I28&gt;=30,"C+",IF(I28&gt;=20,"C",IF(I28&gt;=10,"D+","D")))))))))</x:f>
        <x:v>A</x:v>
      </x:c>
      <x:c r="K28" s="32" t="str">
        <x:v>중간</x:v>
      </x:c>
      <x:c r="L28" s="40" t="str">
        <x:v>확장 전수조사군: 공개 공연·라인업·SNS·업계 활동을 기준으로 상대평가</x:v>
      </x:c>
    </x:row>
    <x:row r="29">
      <x:c r="A29" s="39" t="n">
        <x:f>RANK(I29,$I$5:$I$130,0)</x:f>
        <x:v>24</x:v>
      </x:c>
      <x:c r="B29" s="29" t="str">
        <x:v>アンジュルム</x:v>
      </x:c>
      <x:c r="C29" s="32" t="n">
        <x:v>16</x:v>
      </x:c>
      <x:c r="D29" s="32" t="n">
        <x:v>15</x:v>
      </x:c>
      <x:c r="E29" s="32" t="n">
        <x:v>13</x:v>
      </x:c>
      <x:c r="F29" s="32" t="n">
        <x:v>7</x:v>
      </x:c>
      <x:c r="G29" s="32" t="n">
        <x:v>6</x:v>
      </x:c>
      <x:c r="H29" s="32" t="n">
        <x:v>7</x:v>
      </x:c>
      <x:c r="I29" s="32" t="n">
        <x:f>SUM(C29:H29)</x:f>
        <x:v>64</x:v>
      </x:c>
      <x:c r="J29" s="32" t="str">
        <x:f>IF(I29&gt;=90,"S+",IF(I29&gt;=80,"S",IF(I29&gt;=70,"A+",IF(I29&gt;=60,"A",IF(I29&gt;=50,"B+",IF(I29&gt;=40,"B",IF(I29&gt;=30,"C+",IF(I29&gt;=20,"C",IF(I29&gt;=10,"D+","D")))))))))</x:f>
        <x:v>A</x:v>
      </x:c>
      <x:c r="K29" s="32" t="str">
        <x:v>높음</x:v>
      </x:c>
      <x:c r="L29" s="40" t="str">
        <x:v>메이저/중상위권: 복수의 공개 지표와 공연·화제성 자료 반영</x:v>
      </x:c>
    </x:row>
    <x:row r="30">
      <x:c r="A30" s="39" t="n">
        <x:f>RANK(I30,$I$5:$I$130,0)</x:f>
        <x:v>26</x:v>
      </x:c>
      <x:c r="B30" s="29" t="str">
        <x:v>WHITE SCORPION</x:v>
      </x:c>
      <x:c r="C30" s="32" t="n">
        <x:v>16</x:v>
      </x:c>
      <x:c r="D30" s="32" t="n">
        <x:v>12</x:v>
      </x:c>
      <x:c r="E30" s="32" t="n">
        <x:v>9</x:v>
      </x:c>
      <x:c r="F30" s="32" t="n">
        <x:v>9</x:v>
      </x:c>
      <x:c r="G30" s="32" t="n">
        <x:v>9</x:v>
      </x:c>
      <x:c r="H30" s="32" t="n">
        <x:v>8</x:v>
      </x:c>
      <x:c r="I30" s="32" t="n">
        <x:f>SUM(C30:H30)</x:f>
        <x:v>63</x:v>
      </x:c>
      <x:c r="J30" s="32" t="str">
        <x:f>IF(I30&gt;=90,"S+",IF(I30&gt;=80,"S",IF(I30&gt;=70,"A+",IF(I30&gt;=60,"A",IF(I30&gt;=50,"B+",IF(I30&gt;=40,"B",IF(I30&gt;=30,"C+",IF(I30&gt;=20,"C",IF(I30&gt;=10,"D+","D")))))))))</x:f>
        <x:v>A</x:v>
      </x:c>
      <x:c r="K30" s="32" t="str">
        <x:v>중상</x:v>
      </x:c>
      <x:c r="L30" s="40" t="str">
        <x:v>라이브/중소권: 공연장·이벤트·SNS·인지도 자료를 교차 반영</x:v>
      </x:c>
    </x:row>
    <x:row r="31">
      <x:c r="A31" s="39" t="n">
        <x:f>RANK(I31,$I$5:$I$130,0)</x:f>
        <x:v>27</x:v>
      </x:c>
      <x:c r="B31" s="29" t="str">
        <x:v>ファントムシータ</x:v>
      </x:c>
      <x:c r="C31" s="32" t="n">
        <x:v>12</x:v>
      </x:c>
      <x:c r="D31" s="32" t="n">
        <x:v>10</x:v>
      </x:c>
      <x:c r="E31" s="32" t="n">
        <x:v>10</x:v>
      </x:c>
      <x:c r="F31" s="32" t="n">
        <x:v>14</x:v>
      </x:c>
      <x:c r="G31" s="32" t="n">
        <x:v>8</x:v>
      </x:c>
      <x:c r="H31" s="32" t="n">
        <x:v>7</x:v>
      </x:c>
      <x:c r="I31" s="32" t="n">
        <x:f>SUM(C31:H31)</x:f>
        <x:v>61</x:v>
      </x:c>
      <x:c r="J31" s="32" t="str">
        <x:f>IF(I31&gt;=90,"S+",IF(I31&gt;=80,"S",IF(I31&gt;=70,"A+",IF(I31&gt;=60,"A",IF(I31&gt;=50,"B+",IF(I31&gt;=40,"B",IF(I31&gt;=30,"C+",IF(I31&gt;=20,"C",IF(I31&gt;=10,"D+","D")))))))))</x:f>
        <x:v>A</x:v>
      </x:c>
      <x:c r="K31" s="32" t="str">
        <x:v>높음</x:v>
      </x:c>
      <x:c r="L31" s="40" t="str">
        <x:v>메이저/중상위권: 복수의 공개 지표와 공연·화제성 자료 반영</x:v>
      </x:c>
    </x:row>
    <x:row r="32">
      <x:c r="A32" s="39" t="n">
        <x:f>RANK(I32,$I$5:$I$130,0)</x:f>
        <x:v>28</x:v>
      </x:c>
      <x:c r="B32" s="29" t="str">
        <x:v>MORE STAR</x:v>
      </x:c>
      <x:c r="C32" s="32" t="n">
        <x:v>14</x:v>
      </x:c>
      <x:c r="D32" s="32" t="n">
        <x:v>10</x:v>
      </x:c>
      <x:c r="E32" s="32" t="n">
        <x:v>8</x:v>
      </x:c>
      <x:c r="F32" s="32" t="n">
        <x:v>10</x:v>
      </x:c>
      <x:c r="G32" s="32" t="n">
        <x:v>10</x:v>
      </x:c>
      <x:c r="H32" s="32" t="n">
        <x:v>7</x:v>
      </x:c>
      <x:c r="I32" s="32" t="n">
        <x:f>SUM(C32:H32)</x:f>
        <x:v>59</x:v>
      </x:c>
      <x:c r="J32" s="32" t="str">
        <x:f>IF(I32&gt;=90,"S+",IF(I32&gt;=80,"S",IF(I32&gt;=70,"A+",IF(I32&gt;=60,"A",IF(I32&gt;=50,"B+",IF(I32&gt;=40,"B",IF(I32&gt;=30,"C+",IF(I32&gt;=20,"C",IF(I32&gt;=10,"D+","D")))))))))</x:f>
        <x:v>B+</x:v>
      </x:c>
      <x:c r="K32" s="32" t="str">
        <x:v>중상</x:v>
      </x:c>
      <x:c r="L32" s="40" t="str">
        <x:v>라이브/중소권: 공연장·이벤트·SNS·인지도 자료를 교차 반영</x:v>
      </x:c>
    </x:row>
    <x:row r="33">
      <x:c r="A33" s="39" t="n">
        <x:f>RANK(I33,$I$5:$I$130,0)</x:f>
        <x:v>28</x:v>
      </x:c>
      <x:c r="B33" s="29" t="str">
        <x:v>Rain Tree</x:v>
      </x:c>
      <x:c r="C33" s="32" t="n">
        <x:v>15</x:v>
      </x:c>
      <x:c r="D33" s="32" t="n">
        <x:v>11</x:v>
      </x:c>
      <x:c r="E33" s="32" t="n">
        <x:v>8</x:v>
      </x:c>
      <x:c r="F33" s="32" t="n">
        <x:v>8</x:v>
      </x:c>
      <x:c r="G33" s="32" t="n">
        <x:v>9</x:v>
      </x:c>
      <x:c r="H33" s="32" t="n">
        <x:v>8</x:v>
      </x:c>
      <x:c r="I33" s="32" t="n">
        <x:f>SUM(C33:H33)</x:f>
        <x:v>59</x:v>
      </x:c>
      <x:c r="J33" s="32" t="str">
        <x:f>IF(I33&gt;=90,"S+",IF(I33&gt;=80,"S",IF(I33&gt;=70,"A+",IF(I33&gt;=60,"A",IF(I33&gt;=50,"B+",IF(I33&gt;=40,"B",IF(I33&gt;=30,"C+",IF(I33&gt;=20,"C",IF(I33&gt;=10,"D+","D")))))))))</x:f>
        <x:v>B+</x:v>
      </x:c>
      <x:c r="K33" s="32" t="str">
        <x:v>중상</x:v>
      </x:c>
      <x:c r="L33" s="40" t="str">
        <x:v>라이브/중소권: 공연장·이벤트·SNS·인지도 자료를 교차 반영</x:v>
      </x:c>
    </x:row>
    <x:row r="34">
      <x:c r="A34" s="39" t="n">
        <x:f>RANK(I34,$I$5:$I$130,0)</x:f>
        <x:v>28</x:v>
      </x:c>
      <x:c r="B34" s="29" t="str">
        <x:v>SKE48</x:v>
      </x:c>
      <x:c r="C34" s="32" t="n">
        <x:v>14</x:v>
      </x:c>
      <x:c r="D34" s="32" t="n">
        <x:v>16</x:v>
      </x:c>
      <x:c r="E34" s="32" t="n">
        <x:v>12</x:v>
      </x:c>
      <x:c r="F34" s="32" t="n">
        <x:v>6</x:v>
      </x:c>
      <x:c r="G34" s="32" t="n">
        <x:v>4</x:v>
      </x:c>
      <x:c r="H34" s="32" t="n">
        <x:v>7</x:v>
      </x:c>
      <x:c r="I34" s="32" t="n">
        <x:f>SUM(C34:H34)</x:f>
        <x:v>59</x:v>
      </x:c>
      <x:c r="J34" s="32" t="str">
        <x:f>IF(I34&gt;=90,"S+",IF(I34&gt;=80,"S",IF(I34&gt;=70,"A+",IF(I34&gt;=60,"A",IF(I34&gt;=50,"B+",IF(I34&gt;=40,"B",IF(I34&gt;=30,"C+",IF(I34&gt;=20,"C",IF(I34&gt;=10,"D+","D")))))))))</x:f>
        <x:v>B+</x:v>
      </x:c>
      <x:c r="K34" s="32" t="str">
        <x:v>높음</x:v>
      </x:c>
      <x:c r="L34" s="40" t="str">
        <x:v>메이저/중상위권: 복수의 공개 지표와 공연·화제성 자료 반영</x:v>
      </x:c>
    </x:row>
    <x:row r="35">
      <x:c r="A35" s="39" t="n">
        <x:f>RANK(I35,$I$5:$I$130,0)</x:f>
        <x:v>28</x:v>
      </x:c>
      <x:c r="B35" s="29" t="str">
        <x:v>わーすた</x:v>
      </x:c>
      <x:c r="C35" s="32" t="n">
        <x:v>15</x:v>
      </x:c>
      <x:c r="D35" s="32" t="n">
        <x:v>12</x:v>
      </x:c>
      <x:c r="E35" s="32" t="n">
        <x:v>11</x:v>
      </x:c>
      <x:c r="F35" s="32" t="n">
        <x:v>8</x:v>
      </x:c>
      <x:c r="G35" s="32" t="n">
        <x:v>6</x:v>
      </x:c>
      <x:c r="H35" s="32" t="n">
        <x:v>7</x:v>
      </x:c>
      <x:c r="I35" s="32" t="n">
        <x:f>SUM(C35:H35)</x:f>
        <x:v>59</x:v>
      </x:c>
      <x:c r="J35" s="32" t="str">
        <x:f>IF(I35&gt;=90,"S+",IF(I35&gt;=80,"S",IF(I35&gt;=70,"A+",IF(I35&gt;=60,"A",IF(I35&gt;=50,"B+",IF(I35&gt;=40,"B",IF(I35&gt;=30,"C+",IF(I35&gt;=20,"C",IF(I35&gt;=10,"D+","D")))))))))</x:f>
        <x:v>B+</x:v>
      </x:c>
      <x:c r="K35" s="32" t="str">
        <x:v>중간</x:v>
      </x:c>
      <x:c r="L35" s="40" t="str">
        <x:v>확장 전수조사군: 공개 공연·라인업·SNS·업계 활동을 기준으로 상대평가</x:v>
      </x:c>
    </x:row>
    <x:row r="36">
      <x:c r="A36" s="39" t="n">
        <x:f>RANK(I36,$I$5:$I$130,0)</x:f>
        <x:v>28</x:v>
      </x:c>
      <x:c r="B36" s="29" t="str">
        <x:v>私立恵比寿中学</x:v>
      </x:c>
      <x:c r="C36" s="32" t="n">
        <x:v>15</x:v>
      </x:c>
      <x:c r="D36" s="32" t="n">
        <x:v>13</x:v>
      </x:c>
      <x:c r="E36" s="32" t="n">
        <x:v>12</x:v>
      </x:c>
      <x:c r="F36" s="32" t="n">
        <x:v>7</x:v>
      </x:c>
      <x:c r="G36" s="32" t="n">
        <x:v>5</x:v>
      </x:c>
      <x:c r="H36" s="32" t="n">
        <x:v>7</x:v>
      </x:c>
      <x:c r="I36" s="32" t="n">
        <x:f>SUM(C36:H36)</x:f>
        <x:v>59</x:v>
      </x:c>
      <x:c r="J36" s="32" t="str">
        <x:f>IF(I36&gt;=90,"S+",IF(I36&gt;=80,"S",IF(I36&gt;=70,"A+",IF(I36&gt;=60,"A",IF(I36&gt;=50,"B+",IF(I36&gt;=40,"B",IF(I36&gt;=30,"C+",IF(I36&gt;=20,"C",IF(I36&gt;=10,"D+","D")))))))))</x:f>
        <x:v>B+</x:v>
      </x:c>
      <x:c r="K36" s="32" t="str">
        <x:v>높음</x:v>
      </x:c>
      <x:c r="L36" s="40" t="str">
        <x:v>메이저/중상위권: 복수의 공개 지표와 공연·화제성 자료 반영</x:v>
      </x:c>
    </x:row>
    <x:row r="37">
      <x:c r="A37" s="39" t="n">
        <x:f>RANK(I37,$I$5:$I$130,0)</x:f>
        <x:v>33</x:v>
      </x:c>
      <x:c r="B37" s="29" t="str">
        <x:v>Merry BAD TUNE.</x:v>
      </x:c>
      <x:c r="C37" s="32" t="n">
        <x:v>16</x:v>
      </x:c>
      <x:c r="D37" s="32" t="n">
        <x:v>12</x:v>
      </x:c>
      <x:c r="E37" s="32" t="n">
        <x:v>8</x:v>
      </x:c>
      <x:c r="F37" s="32" t="n">
        <x:v>8</x:v>
      </x:c>
      <x:c r="G37" s="32" t="n">
        <x:v>8</x:v>
      </x:c>
      <x:c r="H37" s="32" t="n">
        <x:v>6</x:v>
      </x:c>
      <x:c r="I37" s="32" t="n">
        <x:f>SUM(C37:H37)</x:f>
        <x:v>58</x:v>
      </x:c>
      <x:c r="J37" s="32" t="str">
        <x:f>IF(I37&gt;=90,"S+",IF(I37&gt;=80,"S",IF(I37&gt;=70,"A+",IF(I37&gt;=60,"A",IF(I37&gt;=50,"B+",IF(I37&gt;=40,"B",IF(I37&gt;=30,"C+",IF(I37&gt;=20,"C",IF(I37&gt;=10,"D+","D")))))))))</x:f>
        <x:v>B+</x:v>
      </x:c>
      <x:c r="K37" s="32" t="str">
        <x:v>중상</x:v>
      </x:c>
      <x:c r="L37" s="40" t="str">
        <x:v>라이브/중소권: 공연장·이벤트·SNS·인지도 자료를 교차 반영</x:v>
      </x:c>
    </x:row>
    <x:row r="38">
      <x:c r="A38" s="39" t="n">
        <x:f>RANK(I38,$I$5:$I$130,0)</x:f>
        <x:v>33</x:v>
      </x:c>
      <x:c r="B38" s="29" t="str">
        <x:v>つばきファクトリー</x:v>
      </x:c>
      <x:c r="C38" s="32" t="n">
        <x:v>14</x:v>
      </x:c>
      <x:c r="D38" s="32" t="n">
        <x:v>14</x:v>
      </x:c>
      <x:c r="E38" s="32" t="n">
        <x:v>10</x:v>
      </x:c>
      <x:c r="F38" s="32" t="n">
        <x:v>6</x:v>
      </x:c>
      <x:c r="G38" s="32" t="n">
        <x:v>6</x:v>
      </x:c>
      <x:c r="H38" s="32" t="n">
        <x:v>8</x:v>
      </x:c>
      <x:c r="I38" s="32" t="n">
        <x:f>SUM(C38:H38)</x:f>
        <x:v>58</x:v>
      </x:c>
      <x:c r="J38" s="32" t="str">
        <x:f>IF(I38&gt;=90,"S+",IF(I38&gt;=80,"S",IF(I38&gt;=70,"A+",IF(I38&gt;=60,"A",IF(I38&gt;=50,"B+",IF(I38&gt;=40,"B",IF(I38&gt;=30,"C+",IF(I38&gt;=20,"C",IF(I38&gt;=10,"D+","D")))))))))</x:f>
        <x:v>B+</x:v>
      </x:c>
      <x:c r="K38" s="32" t="str">
        <x:v>중상</x:v>
      </x:c>
      <x:c r="L38" s="40" t="str">
        <x:v>라이브/중소권: 공연장·이벤트·SNS·인지도 자료를 교차 반영</x:v>
      </x:c>
    </x:row>
    <x:row r="39">
      <x:c r="A39" s="39" t="n">
        <x:f>RANK(I39,$I$5:$I$130,0)</x:f>
        <x:v>35</x:v>
      </x:c>
      <x:c r="B39" s="29" t="str">
        <x:v>Devil ANTHEM.</x:v>
      </x:c>
      <x:c r="C39" s="32" t="n">
        <x:v>16</x:v>
      </x:c>
      <x:c r="D39" s="32" t="n">
        <x:v>12</x:v>
      </x:c>
      <x:c r="E39" s="32" t="n">
        <x:v>8</x:v>
      </x:c>
      <x:c r="F39" s="32" t="n">
        <x:v>7</x:v>
      </x:c>
      <x:c r="G39" s="32" t="n">
        <x:v>8</x:v>
      </x:c>
      <x:c r="H39" s="32" t="n">
        <x:v>6</x:v>
      </x:c>
      <x:c r="I39" s="32" t="n">
        <x:f>SUM(C39:H39)</x:f>
        <x:v>57</x:v>
      </x:c>
      <x:c r="J39" s="32" t="str">
        <x:f>IF(I39&gt;=90,"S+",IF(I39&gt;=80,"S",IF(I39&gt;=70,"A+",IF(I39&gt;=60,"A",IF(I39&gt;=50,"B+",IF(I39&gt;=40,"B",IF(I39&gt;=30,"C+",IF(I39&gt;=20,"C",IF(I39&gt;=10,"D+","D")))))))))</x:f>
        <x:v>B+</x:v>
      </x:c>
      <x:c r="K39" s="32" t="str">
        <x:v>중상</x:v>
      </x:c>
      <x:c r="L39" s="40" t="str">
        <x:v>라이브/중소권: 공연장·이벤트·SNS·인지도 자료를 교차 반영</x:v>
      </x:c>
    </x:row>
    <x:row r="40">
      <x:c r="A40" s="39" t="n">
        <x:f>RANK(I40,$I$5:$I$130,0)</x:f>
        <x:v>35</x:v>
      </x:c>
      <x:c r="B40" s="29" t="str">
        <x:v>Girls²</x:v>
      </x:c>
      <x:c r="C40" s="32" t="n">
        <x:v>12</x:v>
      </x:c>
      <x:c r="D40" s="32" t="n">
        <x:v>11</x:v>
      </x:c>
      <x:c r="E40" s="32" t="n">
        <x:v>10</x:v>
      </x:c>
      <x:c r="F40" s="32" t="n">
        <x:v>10</x:v>
      </x:c>
      <x:c r="G40" s="32" t="n">
        <x:v>7</x:v>
      </x:c>
      <x:c r="H40" s="32" t="n">
        <x:v>7</x:v>
      </x:c>
      <x:c r="I40" s="32" t="n">
        <x:f>SUM(C40:H40)</x:f>
        <x:v>57</x:v>
      </x:c>
      <x:c r="J40" s="32" t="str">
        <x:f>IF(I40&gt;=90,"S+",IF(I40&gt;=80,"S",IF(I40&gt;=70,"A+",IF(I40&gt;=60,"A",IF(I40&gt;=50,"B+",IF(I40&gt;=40,"B",IF(I40&gt;=30,"C+",IF(I40&gt;=20,"C",IF(I40&gt;=10,"D+","D")))))))))</x:f>
        <x:v>B+</x:v>
      </x:c>
      <x:c r="K40" s="32" t="str">
        <x:v>높음</x:v>
      </x:c>
      <x:c r="L40" s="40" t="str">
        <x:v>메이저/중상위권: 복수의 공개 지표와 공연·화제성 자료 반영</x:v>
      </x:c>
    </x:row>
    <x:row r="41">
      <x:c r="A41" s="39" t="n">
        <x:f>RANK(I41,$I$5:$I$130,0)</x:f>
        <x:v>35</x:v>
      </x:c>
      <x:c r="B41" s="29" t="str">
        <x:v>可憐なアイボリー</x:v>
      </x:c>
      <x:c r="C41" s="32" t="n">
        <x:v>13</x:v>
      </x:c>
      <x:c r="D41" s="32" t="n">
        <x:v>11</x:v>
      </x:c>
      <x:c r="E41" s="32" t="n">
        <x:v>9</x:v>
      </x:c>
      <x:c r="F41" s="32" t="n">
        <x:v>9</x:v>
      </x:c>
      <x:c r="G41" s="32" t="n">
        <x:v>8</x:v>
      </x:c>
      <x:c r="H41" s="32" t="n">
        <x:v>7</x:v>
      </x:c>
      <x:c r="I41" s="32" t="n">
        <x:f>SUM(C41:H41)</x:f>
        <x:v>57</x:v>
      </x:c>
      <x:c r="J41" s="32" t="str">
        <x:f>IF(I41&gt;=90,"S+",IF(I41&gt;=80,"S",IF(I41&gt;=70,"A+",IF(I41&gt;=60,"A",IF(I41&gt;=50,"B+",IF(I41&gt;=40,"B",IF(I41&gt;=30,"C+",IF(I41&gt;=20,"C",IF(I41&gt;=10,"D+","D")))))))))</x:f>
        <x:v>B+</x:v>
      </x:c>
      <x:c r="K41" s="32" t="str">
        <x:v>중상</x:v>
      </x:c>
      <x:c r="L41" s="40" t="str">
        <x:v>라이브/중소권: 공연장·이벤트·SNS·인지도 자료를 교차 반영</x:v>
      </x:c>
    </x:row>
    <x:row r="42">
      <x:c r="A42" s="39" t="n">
        <x:f>RANK(I42,$I$5:$I$130,0)</x:f>
        <x:v>38</x:v>
      </x:c>
      <x:c r="B42" s="29" t="str">
        <x:v>INUWASI</x:v>
      </x:c>
      <x:c r="C42" s="32" t="n">
        <x:v>17</x:v>
      </x:c>
      <x:c r="D42" s="32" t="n">
        <x:v>12</x:v>
      </x:c>
      <x:c r="E42" s="32" t="n">
        <x:v>7</x:v>
      </x:c>
      <x:c r="F42" s="32" t="n">
        <x:v>7</x:v>
      </x:c>
      <x:c r="G42" s="32" t="n">
        <x:v>7</x:v>
      </x:c>
      <x:c r="H42" s="32" t="n">
        <x:v>6</x:v>
      </x:c>
      <x:c r="I42" s="32" t="n">
        <x:f>SUM(C42:H42)</x:f>
        <x:v>56</x:v>
      </x:c>
      <x:c r="J42" s="32" t="str">
        <x:f>IF(I42&gt;=90,"S+",IF(I42&gt;=80,"S",IF(I42&gt;=70,"A+",IF(I42&gt;=60,"A",IF(I42&gt;=50,"B+",IF(I42&gt;=40,"B",IF(I42&gt;=30,"C+",IF(I42&gt;=20,"C",IF(I42&gt;=10,"D+","D")))))))))</x:f>
        <x:v>B+</x:v>
      </x:c>
      <x:c r="K42" s="32" t="str">
        <x:v>중간</x:v>
      </x:c>
      <x:c r="L42" s="40" t="str">
        <x:v>확장 전수조사군: 공개 공연·라인업·SNS·업계 활동을 기준으로 상대평가</x:v>
      </x:c>
    </x:row>
    <x:row r="43">
      <x:c r="A43" s="39" t="n">
        <x:f>RANK(I43,$I$5:$I$130,0)</x:f>
        <x:v>38</x:v>
      </x:c>
      <x:c r="B43" s="29" t="str">
        <x:v>Palette Parade</x:v>
      </x:c>
      <x:c r="C43" s="32" t="n">
        <x:v>15</x:v>
      </x:c>
      <x:c r="D43" s="32" t="n">
        <x:v>11</x:v>
      </x:c>
      <x:c r="E43" s="32" t="n">
        <x:v>8</x:v>
      </x:c>
      <x:c r="F43" s="32" t="n">
        <x:v>8</x:v>
      </x:c>
      <x:c r="G43" s="32" t="n">
        <x:v>8</x:v>
      </x:c>
      <x:c r="H43" s="32" t="n">
        <x:v>6</x:v>
      </x:c>
      <x:c r="I43" s="32" t="n">
        <x:f>SUM(C43:H43)</x:f>
        <x:v>56</x:v>
      </x:c>
      <x:c r="J43" s="32" t="str">
        <x:f>IF(I43&gt;=90,"S+",IF(I43&gt;=80,"S",IF(I43&gt;=70,"A+",IF(I43&gt;=60,"A",IF(I43&gt;=50,"B+",IF(I43&gt;=40,"B",IF(I43&gt;=30,"C+",IF(I43&gt;=20,"C",IF(I43&gt;=10,"D+","D")))))))))</x:f>
        <x:v>B+</x:v>
      </x:c>
      <x:c r="K43" s="32" t="str">
        <x:v>중상</x:v>
      </x:c>
      <x:c r="L43" s="40" t="str">
        <x:v>라이브/중소권: 공연장·이벤트·SNS·인지도 자료를 교차 반영</x:v>
      </x:c>
    </x:row>
    <x:row r="44">
      <x:c r="A44" s="39" t="n">
        <x:f>RANK(I44,$I$5:$I$130,0)</x:f>
        <x:v>40</x:v>
      </x:c>
      <x:c r="B44" s="29" t="str">
        <x:v>JamsCollection</x:v>
      </x:c>
      <x:c r="C44" s="32" t="n">
        <x:v>13</x:v>
      </x:c>
      <x:c r="D44" s="32" t="n">
        <x:v>11</x:v>
      </x:c>
      <x:c r="E44" s="32" t="n">
        <x:v>10</x:v>
      </x:c>
      <x:c r="F44" s="32" t="n">
        <x:v>8</x:v>
      </x:c>
      <x:c r="G44" s="32" t="n">
        <x:v>7</x:v>
      </x:c>
      <x:c r="H44" s="32" t="n">
        <x:v>6</x:v>
      </x:c>
      <x:c r="I44" s="32" t="n">
        <x:f>SUM(C44:H44)</x:f>
        <x:v>55</x:v>
      </x:c>
      <x:c r="J44" s="32" t="str">
        <x:f>IF(I44&gt;=90,"S+",IF(I44&gt;=80,"S",IF(I44&gt;=70,"A+",IF(I44&gt;=60,"A",IF(I44&gt;=50,"B+",IF(I44&gt;=40,"B",IF(I44&gt;=30,"C+",IF(I44&gt;=20,"C",IF(I44&gt;=10,"D+","D")))))))))</x:f>
        <x:v>B+</x:v>
      </x:c>
      <x:c r="K44" s="32" t="str">
        <x:v>높음</x:v>
      </x:c>
      <x:c r="L44" s="40" t="str">
        <x:v>메이저/중상위권: 복수의 공개 지표와 공연·화제성 자료 반영</x:v>
      </x:c>
    </x:row>
    <x:row r="45">
      <x:c r="A45" s="39" t="n">
        <x:f>RANK(I45,$I$5:$I$130,0)</x:f>
        <x:v>40</x:v>
      </x:c>
      <x:c r="B45" s="29" t="str">
        <x:v>NMB48</x:v>
      </x:c>
      <x:c r="C45" s="32" t="n">
        <x:v>14</x:v>
      </x:c>
      <x:c r="D45" s="32" t="n">
        <x:v>14</x:v>
      </x:c>
      <x:c r="E45" s="32" t="n">
        <x:v>11</x:v>
      </x:c>
      <x:c r="F45" s="32" t="n">
        <x:v>5</x:v>
      </x:c>
      <x:c r="G45" s="32" t="n">
        <x:v>4</x:v>
      </x:c>
      <x:c r="H45" s="32" t="n">
        <x:v>7</x:v>
      </x:c>
      <x:c r="I45" s="32" t="n">
        <x:f>SUM(C45:H45)</x:f>
        <x:v>55</x:v>
      </x:c>
      <x:c r="J45" s="32" t="str">
        <x:f>IF(I45&gt;=90,"S+",IF(I45&gt;=80,"S",IF(I45&gt;=70,"A+",IF(I45&gt;=60,"A",IF(I45&gt;=50,"B+",IF(I45&gt;=40,"B",IF(I45&gt;=30,"C+",IF(I45&gt;=20,"C",IF(I45&gt;=10,"D+","D")))))))))</x:f>
        <x:v>B+</x:v>
      </x:c>
      <x:c r="K45" s="32" t="str">
        <x:v>높음</x:v>
      </x:c>
      <x:c r="L45" s="40" t="str">
        <x:v>메이저/중상위권: 복수의 공개 지표와 공연·화제성 자료 반영</x:v>
      </x:c>
    </x:row>
    <x:row r="46">
      <x:c r="A46" s="39" t="n">
        <x:f>RANK(I46,$I$5:$I$130,0)</x:f>
        <x:v>40</x:v>
      </x:c>
      <x:c r="B46" s="29" t="str">
        <x:v>OCHA NORMA</x:v>
      </x:c>
      <x:c r="C46" s="32" t="n">
        <x:v>13</x:v>
      </x:c>
      <x:c r="D46" s="32" t="n">
        <x:v>13</x:v>
      </x:c>
      <x:c r="E46" s="32" t="n">
        <x:v>10</x:v>
      </x:c>
      <x:c r="F46" s="32" t="n">
        <x:v>6</x:v>
      </x:c>
      <x:c r="G46" s="32" t="n">
        <x:v>5</x:v>
      </x:c>
      <x:c r="H46" s="32" t="n">
        <x:v>8</x:v>
      </x:c>
      <x:c r="I46" s="32" t="n">
        <x:f>SUM(C46:H46)</x:f>
        <x:v>55</x:v>
      </x:c>
      <x:c r="J46" s="32" t="str">
        <x:f>IF(I46&gt;=90,"S+",IF(I46&gt;=80,"S",IF(I46&gt;=70,"A+",IF(I46&gt;=60,"A",IF(I46&gt;=50,"B+",IF(I46&gt;=40,"B",IF(I46&gt;=30,"C+",IF(I46&gt;=20,"C",IF(I46&gt;=10,"D+","D")))))))))</x:f>
        <x:v>B+</x:v>
      </x:c>
      <x:c r="K46" s="32" t="str">
        <x:v>중상</x:v>
      </x:c>
      <x:c r="L46" s="40" t="str">
        <x:v>라이브/중소권: 공연장·이벤트·SNS·인지도 자료를 교차 반영</x:v>
      </x:c>
    </x:row>
    <x:row r="47">
      <x:c r="A47" s="39" t="n">
        <x:f>RANK(I47,$I$5:$I$130,0)</x:f>
        <x:v>43</x:v>
      </x:c>
      <x:c r="B47" s="29" t="str">
        <x:v>@onefive</x:v>
      </x:c>
      <x:c r="C47" s="32" t="n">
        <x:v>14</x:v>
      </x:c>
      <x:c r="D47" s="32" t="n">
        <x:v>10</x:v>
      </x:c>
      <x:c r="E47" s="32" t="n">
        <x:v>8</x:v>
      </x:c>
      <x:c r="F47" s="32" t="n">
        <x:v>8</x:v>
      </x:c>
      <x:c r="G47" s="32" t="n">
        <x:v>8</x:v>
      </x:c>
      <x:c r="H47" s="32" t="n">
        <x:v>6</x:v>
      </x:c>
      <x:c r="I47" s="32" t="n">
        <x:f>SUM(C47:H47)</x:f>
        <x:v>54</x:v>
      </x:c>
      <x:c r="J47" s="32" t="str">
        <x:f>IF(I47&gt;=90,"S+",IF(I47&gt;=80,"S",IF(I47&gt;=70,"A+",IF(I47&gt;=60,"A",IF(I47&gt;=50,"B+",IF(I47&gt;=40,"B",IF(I47&gt;=30,"C+",IF(I47&gt;=20,"C",IF(I47&gt;=10,"D+","D")))))))))</x:f>
        <x:v>B+</x:v>
      </x:c>
      <x:c r="K47" s="32" t="str">
        <x:v>중간</x:v>
      </x:c>
      <x:c r="L47" s="40" t="str">
        <x:v>확장 전수조사군: 공개 공연·라인업·SNS·업계 활동을 기준으로 상대평가</x:v>
      </x:c>
    </x:row>
    <x:row r="48">
      <x:c r="A48" s="39" t="n">
        <x:f>RANK(I48,$I$5:$I$130,0)</x:f>
        <x:v>43</x:v>
      </x:c>
      <x:c r="B48" s="29" t="str">
        <x:v>AVAM</x:v>
      </x:c>
      <x:c r="C48" s="32" t="n">
        <x:v>13</x:v>
      </x:c>
      <x:c r="D48" s="32" t="n">
        <x:v>10</x:v>
      </x:c>
      <x:c r="E48" s="32" t="n">
        <x:v>8</x:v>
      </x:c>
      <x:c r="F48" s="32" t="n">
        <x:v>10</x:v>
      </x:c>
      <x:c r="G48" s="32" t="n">
        <x:v>8</x:v>
      </x:c>
      <x:c r="H48" s="32" t="n">
        <x:v>5</x:v>
      </x:c>
      <x:c r="I48" s="32" t="n">
        <x:f>SUM(C48:H48)</x:f>
        <x:v>54</x:v>
      </x:c>
      <x:c r="J48" s="32" t="str">
        <x:f>IF(I48&gt;=90,"S+",IF(I48&gt;=80,"S",IF(I48&gt;=70,"A+",IF(I48&gt;=60,"A",IF(I48&gt;=50,"B+",IF(I48&gt;=40,"B",IF(I48&gt;=30,"C+",IF(I48&gt;=20,"C",IF(I48&gt;=10,"D+","D")))))))))</x:f>
        <x:v>B+</x:v>
      </x:c>
      <x:c r="K48" s="32" t="str">
        <x:v>중상</x:v>
      </x:c>
      <x:c r="L48" s="40" t="str">
        <x:v>라이브/중소권: 공연장·이벤트·SNS·인지도 자료를 교차 반영</x:v>
      </x:c>
    </x:row>
    <x:row r="49">
      <x:c r="A49" s="39" t="n">
        <x:f>RANK(I49,$I$5:$I$130,0)</x:f>
        <x:v>43</x:v>
      </x:c>
      <x:c r="B49" s="29" t="str">
        <x:v>ExWHYZ</x:v>
      </x:c>
      <x:c r="C49" s="32" t="n">
        <x:v>12</x:v>
      </x:c>
      <x:c r="D49" s="32" t="n">
        <x:v>10</x:v>
      </x:c>
      <x:c r="E49" s="32" t="n">
        <x:v>10</x:v>
      </x:c>
      <x:c r="F49" s="32" t="n">
        <x:v>8</x:v>
      </x:c>
      <x:c r="G49" s="32" t="n">
        <x:v>7</x:v>
      </x:c>
      <x:c r="H49" s="32" t="n">
        <x:v>7</x:v>
      </x:c>
      <x:c r="I49" s="32" t="n">
        <x:f>SUM(C49:H49)</x:f>
        <x:v>54</x:v>
      </x:c>
      <x:c r="J49" s="32" t="str">
        <x:f>IF(I49&gt;=90,"S+",IF(I49&gt;=80,"S",IF(I49&gt;=70,"A+",IF(I49&gt;=60,"A",IF(I49&gt;=50,"B+",IF(I49&gt;=40,"B",IF(I49&gt;=30,"C+",IF(I49&gt;=20,"C",IF(I49&gt;=10,"D+","D")))))))))</x:f>
        <x:v>B+</x:v>
      </x:c>
      <x:c r="K49" s="32" t="str">
        <x:v>높음</x:v>
      </x:c>
      <x:c r="L49" s="40" t="str">
        <x:v>메이저/중상위권: 복수의 공개 지표와 공연·화제성 자료 반영</x:v>
      </x:c>
    </x:row>
    <x:row r="50">
      <x:c r="A50" s="39" t="n">
        <x:f>RANK(I50,$I$5:$I$130,0)</x:f>
        <x:v>43</x:v>
      </x:c>
      <x:c r="B50" s="29" t="str">
        <x:v>IS:SUE</x:v>
      </x:c>
      <x:c r="C50" s="32" t="n">
        <x:v>11</x:v>
      </x:c>
      <x:c r="D50" s="32" t="n">
        <x:v>11</x:v>
      </x:c>
      <x:c r="E50" s="32" t="n">
        <x:v>8</x:v>
      </x:c>
      <x:c r="F50" s="32" t="n">
        <x:v>9</x:v>
      </x:c>
      <x:c r="G50" s="32" t="n">
        <x:v>8</x:v>
      </x:c>
      <x:c r="H50" s="32" t="n">
        <x:v>7</x:v>
      </x:c>
      <x:c r="I50" s="32" t="n">
        <x:f>SUM(C50:H50)</x:f>
        <x:v>54</x:v>
      </x:c>
      <x:c r="J50" s="32" t="str">
        <x:f>IF(I50&gt;=90,"S+",IF(I50&gt;=80,"S",IF(I50&gt;=70,"A+",IF(I50&gt;=60,"A",IF(I50&gt;=50,"B+",IF(I50&gt;=40,"B",IF(I50&gt;=30,"C+",IF(I50&gt;=20,"C",IF(I50&gt;=10,"D+","D")))))))))</x:f>
        <x:v>B+</x:v>
      </x:c>
      <x:c r="K50" s="32" t="str">
        <x:v>높음</x:v>
      </x:c>
      <x:c r="L50" s="40" t="str">
        <x:v>메이저/중상위권: 복수의 공개 지표와 공연·화제성 자료 반영</x:v>
      </x:c>
    </x:row>
    <x:row r="51">
      <x:c r="A51" s="39" t="n">
        <x:f>RANK(I51,$I$5:$I$130,0)</x:f>
        <x:v>43</x:v>
      </x:c>
      <x:c r="B51" s="29" t="str">
        <x:v>NGT48</x:v>
      </x:c>
      <x:c r="C51" s="32" t="n">
        <x:v>13</x:v>
      </x:c>
      <x:c r="D51" s="32" t="n">
        <x:v>13</x:v>
      </x:c>
      <x:c r="E51" s="32" t="n">
        <x:v>12</x:v>
      </x:c>
      <x:c r="F51" s="32" t="n">
        <x:v>5</x:v>
      </x:c>
      <x:c r="G51" s="32" t="n">
        <x:v>4</x:v>
      </x:c>
      <x:c r="H51" s="32" t="n">
        <x:v>7</x:v>
      </x:c>
      <x:c r="I51" s="32" t="n">
        <x:f>SUM(C51:H51)</x:f>
        <x:v>54</x:v>
      </x:c>
      <x:c r="J51" s="32" t="str">
        <x:f>IF(I51&gt;=90,"S+",IF(I51&gt;=80,"S",IF(I51&gt;=70,"A+",IF(I51&gt;=60,"A",IF(I51&gt;=50,"B+",IF(I51&gt;=40,"B",IF(I51&gt;=30,"C+",IF(I51&gt;=20,"C",IF(I51&gt;=10,"D+","D")))))))))</x:f>
        <x:v>B+</x:v>
      </x:c>
      <x:c r="K51" s="32" t="str">
        <x:v>중간</x:v>
      </x:c>
      <x:c r="L51" s="40" t="str">
        <x:v>확장 전수조사군: 공개 공연·라인업·SNS·업계 활동을 기준으로 상대평가</x:v>
      </x:c>
    </x:row>
    <x:row r="52">
      <x:c r="A52" s="39" t="n">
        <x:f>RANK(I52,$I$5:$I$130,0)</x:f>
        <x:v>43</x:v>
      </x:c>
      <x:c r="B52" s="29" t="str">
        <x:v>fav me</x:v>
      </x:c>
      <x:c r="C52" s="32" t="n">
        <x:v>11</x:v>
      </x:c>
      <x:c r="D52" s="32" t="n">
        <x:v>9</x:v>
      </x:c>
      <x:c r="E52" s="32" t="n">
        <x:v>8</x:v>
      </x:c>
      <x:c r="F52" s="32" t="n">
        <x:v>10</x:v>
      </x:c>
      <x:c r="G52" s="32" t="n">
        <x:v>9</x:v>
      </x:c>
      <x:c r="H52" s="32" t="n">
        <x:v>7</x:v>
      </x:c>
      <x:c r="I52" s="32" t="n">
        <x:f>SUM(C52:H52)</x:f>
        <x:v>54</x:v>
      </x:c>
      <x:c r="J52" s="32" t="str">
        <x:f>IF(I52&gt;=90,"S+",IF(I52&gt;=80,"S",IF(I52&gt;=70,"A+",IF(I52&gt;=60,"A",IF(I52&gt;=50,"B+",IF(I52&gt;=40,"B",IF(I52&gt;=30,"C+",IF(I52&gt;=20,"C",IF(I52&gt;=10,"D+","D")))))))))</x:f>
        <x:v>B+</x:v>
      </x:c>
      <x:c r="K52" s="32" t="str">
        <x:v>중상</x:v>
      </x:c>
      <x:c r="L52" s="40" t="str">
        <x:v>라이브/중소권: 공연장·이벤트·SNS·인지도 자료를 교차 반영</x:v>
      </x:c>
    </x:row>
    <x:row r="53">
      <x:c r="A53" s="39" t="n">
        <x:f>RANK(I53,$I$5:$I$130,0)</x:f>
        <x:v>43</x:v>
      </x:c>
      <x:c r="B53" s="29" t="str">
        <x:v>きゅるりんってしてみて</x:v>
      </x:c>
      <x:c r="C53" s="32" t="n">
        <x:v>12</x:v>
      </x:c>
      <x:c r="D53" s="32" t="n">
        <x:v>10</x:v>
      </x:c>
      <x:c r="E53" s="32" t="n">
        <x:v>9</x:v>
      </x:c>
      <x:c r="F53" s="32" t="n">
        <x:v>10</x:v>
      </x:c>
      <x:c r="G53" s="32" t="n">
        <x:v>7</x:v>
      </x:c>
      <x:c r="H53" s="32" t="n">
        <x:v>6</x:v>
      </x:c>
      <x:c r="I53" s="32" t="n">
        <x:f>SUM(C53:H53)</x:f>
        <x:v>54</x:v>
      </x:c>
      <x:c r="J53" s="32" t="str">
        <x:f>IF(I53&gt;=90,"S+",IF(I53&gt;=80,"S",IF(I53&gt;=70,"A+",IF(I53&gt;=60,"A",IF(I53&gt;=50,"B+",IF(I53&gt;=40,"B",IF(I53&gt;=30,"C+",IF(I53&gt;=20,"C",IF(I53&gt;=10,"D+","D")))))))))</x:f>
        <x:v>B+</x:v>
      </x:c>
      <x:c r="K53" s="32" t="str">
        <x:v>높음</x:v>
      </x:c>
      <x:c r="L53" s="40" t="str">
        <x:v>메이저/중상위권: 복수의 공개 지표와 공연·화제성 자료 반영</x:v>
      </x:c>
    </x:row>
    <x:row r="54">
      <x:c r="A54" s="39" t="n">
        <x:f>RANK(I54,$I$5:$I$130,0)</x:f>
        <x:v>43</x:v>
      </x:c>
      <x:c r="B54" s="29" t="str">
        <x:v>虹のコンキスタドール</x:v>
      </x:c>
      <x:c r="C54" s="32" t="n">
        <x:v>13</x:v>
      </x:c>
      <x:c r="D54" s="32" t="n">
        <x:v>11</x:v>
      </x:c>
      <x:c r="E54" s="32" t="n">
        <x:v>10</x:v>
      </x:c>
      <x:c r="F54" s="32" t="n">
        <x:v>8</x:v>
      </x:c>
      <x:c r="G54" s="32" t="n">
        <x:v>5</x:v>
      </x:c>
      <x:c r="H54" s="32" t="n">
        <x:v>7</x:v>
      </x:c>
      <x:c r="I54" s="32" t="n">
        <x:f>SUM(C54:H54)</x:f>
        <x:v>54</x:v>
      </x:c>
      <x:c r="J54" s="32" t="str">
        <x:f>IF(I54&gt;=90,"S+",IF(I54&gt;=80,"S",IF(I54&gt;=70,"A+",IF(I54&gt;=60,"A",IF(I54&gt;=50,"B+",IF(I54&gt;=40,"B",IF(I54&gt;=30,"C+",IF(I54&gt;=20,"C",IF(I54&gt;=10,"D+","D")))))))))</x:f>
        <x:v>B+</x:v>
      </x:c>
      <x:c r="K54" s="32" t="str">
        <x:v>중상</x:v>
      </x:c>
      <x:c r="L54" s="40" t="str">
        <x:v>라이브/중소권: 공연장·이벤트·SNS·인지도 자료를 교차 반영</x:v>
      </x:c>
    </x:row>
    <x:row r="55">
      <x:c r="A55" s="39" t="n">
        <x:f>RANK(I55,$I$5:$I$130,0)</x:f>
        <x:v>51</x:v>
      </x:c>
      <x:c r="B55" s="29" t="str">
        <x:v>Appare!</x:v>
      </x:c>
      <x:c r="C55" s="32" t="n">
        <x:v>13</x:v>
      </x:c>
      <x:c r="D55" s="32" t="n">
        <x:v>10</x:v>
      </x:c>
      <x:c r="E55" s="32" t="n">
        <x:v>10</x:v>
      </x:c>
      <x:c r="F55" s="32" t="n">
        <x:v>8</x:v>
      </x:c>
      <x:c r="G55" s="32" t="n">
        <x:v>6</x:v>
      </x:c>
      <x:c r="H55" s="32" t="n">
        <x:v>6</x:v>
      </x:c>
      <x:c r="I55" s="32" t="n">
        <x:f>SUM(C55:H55)</x:f>
        <x:v>53</x:v>
      </x:c>
      <x:c r="J55" s="32" t="str">
        <x:f>IF(I55&gt;=90,"S+",IF(I55&gt;=80,"S",IF(I55&gt;=70,"A+",IF(I55&gt;=60,"A",IF(I55&gt;=50,"B+",IF(I55&gt;=40,"B",IF(I55&gt;=30,"C+",IF(I55&gt;=20,"C",IF(I55&gt;=10,"D+","D")))))))))</x:f>
        <x:v>B+</x:v>
      </x:c>
      <x:c r="K55" s="32" t="str">
        <x:v>높음</x:v>
      </x:c>
      <x:c r="L55" s="40" t="str">
        <x:v>메이저/중상위권: 복수의 공개 지표와 공연·화제성 자료 반영</x:v>
      </x:c>
    </x:row>
    <x:row r="56">
      <x:c r="A56" s="39" t="n">
        <x:f>RANK(I56,$I$5:$I$130,0)</x:f>
        <x:v>51</x:v>
      </x:c>
      <x:c r="B56" s="29" t="str">
        <x:v>NANIMONO</x:v>
      </x:c>
      <x:c r="C56" s="32" t="n">
        <x:v>14</x:v>
      </x:c>
      <x:c r="D56" s="32" t="n">
        <x:v>11</x:v>
      </x:c>
      <x:c r="E56" s="32" t="n">
        <x:v>7</x:v>
      </x:c>
      <x:c r="F56" s="32" t="n">
        <x:v>8</x:v>
      </x:c>
      <x:c r="G56" s="32" t="n">
        <x:v>8</x:v>
      </x:c>
      <x:c r="H56" s="32" t="n">
        <x:v>5</x:v>
      </x:c>
      <x:c r="I56" s="32" t="n">
        <x:f>SUM(C56:H56)</x:f>
        <x:v>53</x:v>
      </x:c>
      <x:c r="J56" s="32" t="str">
        <x:f>IF(I56&gt;=90,"S+",IF(I56&gt;=80,"S",IF(I56&gt;=70,"A+",IF(I56&gt;=60,"A",IF(I56&gt;=50,"B+",IF(I56&gt;=40,"B",IF(I56&gt;=30,"C+",IF(I56&gt;=20,"C",IF(I56&gt;=10,"D+","D")))))))))</x:f>
        <x:v>B+</x:v>
      </x:c>
      <x:c r="K56" s="32" t="str">
        <x:v>중상</x:v>
      </x:c>
      <x:c r="L56" s="40" t="str">
        <x:v>라이브/중소권: 공연장·이벤트·SNS·인지도 자료를 교차 반영</x:v>
      </x:c>
    </x:row>
    <x:row r="57">
      <x:c r="A57" s="39" t="n">
        <x:f>RANK(I57,$I$5:$I$130,0)</x:f>
        <x:v>51</x:v>
      </x:c>
      <x:c r="B57" s="29" t="str">
        <x:v>STU48</x:v>
      </x:c>
      <x:c r="C57" s="32" t="n">
        <x:v>13</x:v>
      </x:c>
      <x:c r="D57" s="32" t="n">
        <x:v>13</x:v>
      </x:c>
      <x:c r="E57" s="32" t="n">
        <x:v>10</x:v>
      </x:c>
      <x:c r="F57" s="32" t="n">
        <x:v>5</x:v>
      </x:c>
      <x:c r="G57" s="32" t="n">
        <x:v>5</x:v>
      </x:c>
      <x:c r="H57" s="32" t="n">
        <x:v>7</x:v>
      </x:c>
      <x:c r="I57" s="32" t="n">
        <x:f>SUM(C57:H57)</x:f>
        <x:v>53</x:v>
      </x:c>
      <x:c r="J57" s="32" t="str">
        <x:f>IF(I57&gt;=90,"S+",IF(I57&gt;=80,"S",IF(I57&gt;=70,"A+",IF(I57&gt;=60,"A",IF(I57&gt;=50,"B+",IF(I57&gt;=40,"B",IF(I57&gt;=30,"C+",IF(I57&gt;=20,"C",IF(I57&gt;=10,"D+","D")))))))))</x:f>
        <x:v>B+</x:v>
      </x:c>
      <x:c r="K57" s="32" t="str">
        <x:v>높음</x:v>
      </x:c>
      <x:c r="L57" s="40" t="str">
        <x:v>메이저/중상위권: 복수의 공개 지표와 공연·화제성 자료 반영</x:v>
      </x:c>
    </x:row>
    <x:row r="58">
      <x:c r="A58" s="39" t="n">
        <x:f>RANK(I58,$I$5:$I$130,0)</x:f>
        <x:v>51</x:v>
      </x:c>
      <x:c r="B58" s="29" t="str">
        <x:v>ばってん少女隊</x:v>
      </x:c>
      <x:c r="C58" s="32" t="n">
        <x:v>14</x:v>
      </x:c>
      <x:c r="D58" s="32" t="n">
        <x:v>11</x:v>
      </x:c>
      <x:c r="E58" s="32" t="n">
        <x:v>9</x:v>
      </x:c>
      <x:c r="F58" s="32" t="n">
        <x:v>7</x:v>
      </x:c>
      <x:c r="G58" s="32" t="n">
        <x:v>6</x:v>
      </x:c>
      <x:c r="H58" s="32" t="n">
        <x:v>6</x:v>
      </x:c>
      <x:c r="I58" s="32" t="n">
        <x:f>SUM(C58:H58)</x:f>
        <x:v>53</x:v>
      </x:c>
      <x:c r="J58" s="32" t="str">
        <x:f>IF(I58&gt;=90,"S+",IF(I58&gt;=80,"S",IF(I58&gt;=70,"A+",IF(I58&gt;=60,"A",IF(I58&gt;=50,"B+",IF(I58&gt;=40,"B",IF(I58&gt;=30,"C+",IF(I58&gt;=20,"C",IF(I58&gt;=10,"D+","D")))))))))</x:f>
        <x:v>B+</x:v>
      </x:c>
      <x:c r="K58" s="32" t="str">
        <x:v>중간</x:v>
      </x:c>
      <x:c r="L58" s="40" t="str">
        <x:v>확장 전수조사군: 공개 공연·라인업·SNS·업계 활동을 기준으로 상대평가</x:v>
      </x:c>
    </x:row>
    <x:row r="59">
      <x:c r="A59" s="39" t="n">
        <x:f>RANK(I59,$I$5:$I$130,0)</x:f>
        <x:v>51</x:v>
      </x:c>
      <x:c r="B59" s="29" t="str">
        <x:v>タイトル未定</x:v>
      </x:c>
      <x:c r="C59" s="32" t="n">
        <x:v>15</x:v>
      </x:c>
      <x:c r="D59" s="32" t="n">
        <x:v>11</x:v>
      </x:c>
      <x:c r="E59" s="32" t="n">
        <x:v>7</x:v>
      </x:c>
      <x:c r="F59" s="32" t="n">
        <x:v>7</x:v>
      </x:c>
      <x:c r="G59" s="32" t="n">
        <x:v>8</x:v>
      </x:c>
      <x:c r="H59" s="32" t="n">
        <x:v>5</x:v>
      </x:c>
      <x:c r="I59" s="32" t="n">
        <x:f>SUM(C59:H59)</x:f>
        <x:v>53</x:v>
      </x:c>
      <x:c r="J59" s="32" t="str">
        <x:f>IF(I59&gt;=90,"S+",IF(I59&gt;=80,"S",IF(I59&gt;=70,"A+",IF(I59&gt;=60,"A",IF(I59&gt;=50,"B+",IF(I59&gt;=40,"B",IF(I59&gt;=30,"C+",IF(I59&gt;=20,"C",IF(I59&gt;=10,"D+","D")))))))))</x:f>
        <x:v>B+</x:v>
      </x:c>
      <x:c r="K59" s="32" t="str">
        <x:v>중간</x:v>
      </x:c>
      <x:c r="L59" s="40" t="str">
        <x:v>확장 전수조사군: 공개 공연·라인업·SNS·업계 활동을 기준으로 상대평가</x:v>
      </x:c>
    </x:row>
    <x:row r="60">
      <x:c r="A60" s="39" t="n">
        <x:f>RANK(I60,$I$5:$I$130,0)</x:f>
        <x:v>51</x:v>
      </x:c>
      <x:c r="B60" s="29" t="str">
        <x:v>僕が見たかった青空</x:v>
      </x:c>
      <x:c r="C60" s="32" t="n">
        <x:v>12</x:v>
      </x:c>
      <x:c r="D60" s="32" t="n">
        <x:v>12</x:v>
      </x:c>
      <x:c r="E60" s="32" t="n">
        <x:v>8</x:v>
      </x:c>
      <x:c r="F60" s="32" t="n">
        <x:v>7</x:v>
      </x:c>
      <x:c r="G60" s="32" t="n">
        <x:v>7</x:v>
      </x:c>
      <x:c r="H60" s="32" t="n">
        <x:v>7</x:v>
      </x:c>
      <x:c r="I60" s="32" t="n">
        <x:f>SUM(C60:H60)</x:f>
        <x:v>53</x:v>
      </x:c>
      <x:c r="J60" s="32" t="str">
        <x:f>IF(I60&gt;=90,"S+",IF(I60&gt;=80,"S",IF(I60&gt;=70,"A+",IF(I60&gt;=60,"A",IF(I60&gt;=50,"B+",IF(I60&gt;=40,"B",IF(I60&gt;=30,"C+",IF(I60&gt;=20,"C",IF(I60&gt;=10,"D+","D")))))))))</x:f>
        <x:v>B+</x:v>
      </x:c>
      <x:c r="K60" s="32" t="str">
        <x:v>높음</x:v>
      </x:c>
      <x:c r="L60" s="40" t="str">
        <x:v>메이저/중상위권: 복수의 공개 지표와 공연·화제성 자료 반영</x:v>
      </x:c>
    </x:row>
    <x:row r="61">
      <x:c r="A61" s="39" t="n">
        <x:f>RANK(I61,$I$5:$I$130,0)</x:f>
        <x:v>57</x:v>
      </x:c>
      <x:c r="B61" s="29" t="str">
        <x:v>22/7</x:v>
      </x:c>
      <x:c r="C61" s="32" t="n">
        <x:v>13</x:v>
      </x:c>
      <x:c r="D61" s="32" t="n">
        <x:v>11</x:v>
      </x:c>
      <x:c r="E61" s="32" t="n">
        <x:v>11</x:v>
      </x:c>
      <x:c r="F61" s="32" t="n">
        <x:v>7</x:v>
      </x:c>
      <x:c r="G61" s="32" t="n">
        <x:v>4</x:v>
      </x:c>
      <x:c r="H61" s="32" t="n">
        <x:v>6</x:v>
      </x:c>
      <x:c r="I61" s="32" t="n">
        <x:f>SUM(C61:H61)</x:f>
        <x:v>52</x:v>
      </x:c>
      <x:c r="J61" s="32" t="str">
        <x:f>IF(I61&gt;=90,"S+",IF(I61&gt;=80,"S",IF(I61&gt;=70,"A+",IF(I61&gt;=60,"A",IF(I61&gt;=50,"B+",IF(I61&gt;=40,"B",IF(I61&gt;=30,"C+",IF(I61&gt;=20,"C",IF(I61&gt;=10,"D+","D")))))))))</x:f>
        <x:v>B+</x:v>
      </x:c>
      <x:c r="K61" s="32" t="str">
        <x:v>중간</x:v>
      </x:c>
      <x:c r="L61" s="40" t="str">
        <x:v>확장 전수조사군: 공개 공연·라인업·SNS·업계 활동을 기준으로 상대평가</x:v>
      </x:c>
    </x:row>
    <x:row r="62">
      <x:c r="A62" s="39" t="n">
        <x:f>RANK(I62,$I$5:$I$130,0)</x:f>
        <x:v>57</x:v>
      </x:c>
      <x:c r="B62" s="29" t="str">
        <x:v>のんふぃく！</x:v>
      </x:c>
      <x:c r="C62" s="32" t="n">
        <x:v>13</x:v>
      </x:c>
      <x:c r="D62" s="32" t="n">
        <x:v>11</x:v>
      </x:c>
      <x:c r="E62" s="32" t="n">
        <x:v>7</x:v>
      </x:c>
      <x:c r="F62" s="32" t="n">
        <x:v>9</x:v>
      </x:c>
      <x:c r="G62" s="32" t="n">
        <x:v>7</x:v>
      </x:c>
      <x:c r="H62" s="32" t="n">
        <x:v>5</x:v>
      </x:c>
      <x:c r="I62" s="32" t="n">
        <x:f>SUM(C62:H62)</x:f>
        <x:v>52</x:v>
      </x:c>
      <x:c r="J62" s="32" t="str">
        <x:f>IF(I62&gt;=90,"S+",IF(I62&gt;=80,"S",IF(I62&gt;=70,"A+",IF(I62&gt;=60,"A",IF(I62&gt;=50,"B+",IF(I62&gt;=40,"B",IF(I62&gt;=30,"C+",IF(I62&gt;=20,"C",IF(I62&gt;=10,"D+","D")))))))))</x:f>
        <x:v>B+</x:v>
      </x:c>
      <x:c r="K62" s="32" t="str">
        <x:v>중상</x:v>
      </x:c>
      <x:c r="L62" s="40" t="str">
        <x:v>라이브/중소권: 공연장·이벤트·SNS·인지도 자료를 교차 반영</x:v>
      </x:c>
    </x:row>
    <x:row r="63">
      <x:c r="A63" s="39" t="n">
        <x:f>RANK(I63,$I$5:$I$130,0)</x:f>
        <x:v>57</x:v>
      </x:c>
      <x:c r="B63" s="29" t="str">
        <x:v>最終未来少女</x:v>
      </x:c>
      <x:c r="C63" s="32" t="n">
        <x:v>12</x:v>
      </x:c>
      <x:c r="D63" s="32" t="n">
        <x:v>9</x:v>
      </x:c>
      <x:c r="E63" s="32" t="n">
        <x:v>8</x:v>
      </x:c>
      <x:c r="F63" s="32" t="n">
        <x:v>10</x:v>
      </x:c>
      <x:c r="G63" s="32" t="n">
        <x:v>8</x:v>
      </x:c>
      <x:c r="H63" s="32" t="n">
        <x:v>5</x:v>
      </x:c>
      <x:c r="I63" s="32" t="n">
        <x:f>SUM(C63:H63)</x:f>
        <x:v>52</x:v>
      </x:c>
      <x:c r="J63" s="32" t="str">
        <x:f>IF(I63&gt;=90,"S+",IF(I63&gt;=80,"S",IF(I63&gt;=70,"A+",IF(I63&gt;=60,"A",IF(I63&gt;=50,"B+",IF(I63&gt;=40,"B",IF(I63&gt;=30,"C+",IF(I63&gt;=20,"C",IF(I63&gt;=10,"D+","D")))))))))</x:f>
        <x:v>B+</x:v>
      </x:c>
      <x:c r="K63" s="32" t="str">
        <x:v>중간</x:v>
      </x:c>
      <x:c r="L63" s="40" t="str">
        <x:v>확장 전수조사군: 공개 공연·라인업·SNS·업계 활동을 기준으로 상대평가</x:v>
      </x:c>
    </x:row>
    <x:row r="64">
      <x:c r="A64" s="39" t="n">
        <x:f>RANK(I64,$I$5:$I$130,0)</x:f>
        <x:v>60</x:v>
      </x:c>
      <x:c r="B64" s="29" t="str">
        <x:v>BEYOOOOONDS</x:v>
      </x:c>
      <x:c r="C64" s="32" t="n">
        <x:v>12</x:v>
      </x:c>
      <x:c r="D64" s="32" t="n">
        <x:v>12</x:v>
      </x:c>
      <x:c r="E64" s="32" t="n">
        <x:v>10</x:v>
      </x:c>
      <x:c r="F64" s="32" t="n">
        <x:v>5</x:v>
      </x:c>
      <x:c r="G64" s="32" t="n">
        <x:v>5</x:v>
      </x:c>
      <x:c r="H64" s="32" t="n">
        <x:v>7</x:v>
      </x:c>
      <x:c r="I64" s="32" t="n">
        <x:f>SUM(C64:H64)</x:f>
        <x:v>51</x:v>
      </x:c>
      <x:c r="J64" s="32" t="str">
        <x:f>IF(I64&gt;=90,"S+",IF(I64&gt;=80,"S",IF(I64&gt;=70,"A+",IF(I64&gt;=60,"A",IF(I64&gt;=50,"B+",IF(I64&gt;=40,"B",IF(I64&gt;=30,"C+",IF(I64&gt;=20,"C",IF(I64&gt;=10,"D+","D")))))))))</x:f>
        <x:v>B+</x:v>
      </x:c>
      <x:c r="K64" s="32" t="str">
        <x:v>높음</x:v>
      </x:c>
      <x:c r="L64" s="40" t="str">
        <x:v>메이저/중상위권: 복수의 공개 지표와 공연·화제성 자료 반영</x:v>
      </x:c>
    </x:row>
    <x:row r="65">
      <x:c r="A65" s="39" t="n">
        <x:f>RANK(I65,$I$5:$I$130,0)</x:f>
        <x:v>60</x:v>
      </x:c>
      <x:c r="B65" s="29" t="str">
        <x:v>CYNHN</x:v>
      </x:c>
      <x:c r="C65" s="32" t="n">
        <x:v>15</x:v>
      </x:c>
      <x:c r="D65" s="32" t="n">
        <x:v>10</x:v>
      </x:c>
      <x:c r="E65" s="32" t="n">
        <x:v>7</x:v>
      </x:c>
      <x:c r="F65" s="32" t="n">
        <x:v>6</x:v>
      </x:c>
      <x:c r="G65" s="32" t="n">
        <x:v>7</x:v>
      </x:c>
      <x:c r="H65" s="32" t="n">
        <x:v>6</x:v>
      </x:c>
      <x:c r="I65" s="32" t="n">
        <x:f>SUM(C65:H65)</x:f>
        <x:v>51</x:v>
      </x:c>
      <x:c r="J65" s="32" t="str">
        <x:f>IF(I65&gt;=90,"S+",IF(I65&gt;=80,"S",IF(I65&gt;=70,"A+",IF(I65&gt;=60,"A",IF(I65&gt;=50,"B+",IF(I65&gt;=40,"B",IF(I65&gt;=30,"C+",IF(I65&gt;=20,"C",IF(I65&gt;=10,"D+","D")))))))))</x:f>
        <x:v>B+</x:v>
      </x:c>
      <x:c r="K65" s="32" t="str">
        <x:v>중상</x:v>
      </x:c>
      <x:c r="L65" s="40" t="str">
        <x:v>라이브/중소권: 공연장·이벤트·SNS·인지도 자료를 교차 반영</x:v>
      </x:c>
    </x:row>
    <x:row r="66">
      <x:c r="A66" s="39" t="n">
        <x:f>RANK(I66,$I$5:$I$130,0)</x:f>
        <x:v>60</x:v>
      </x:c>
      <x:c r="B66" s="29" t="str">
        <x:v>GANG PARADE</x:v>
      </x:c>
      <x:c r="C66" s="32" t="n">
        <x:v>14</x:v>
      </x:c>
      <x:c r="D66" s="32" t="n">
        <x:v>10</x:v>
      </x:c>
      <x:c r="E66" s="32" t="n">
        <x:v>10</x:v>
      </x:c>
      <x:c r="F66" s="32" t="n">
        <x:v>7</x:v>
      </x:c>
      <x:c r="G66" s="32" t="n">
        <x:v>4</x:v>
      </x:c>
      <x:c r="H66" s="32" t="n">
        <x:v>6</x:v>
      </x:c>
      <x:c r="I66" s="32" t="n">
        <x:f>SUM(C66:H66)</x:f>
        <x:v>51</x:v>
      </x:c>
      <x:c r="J66" s="32" t="str">
        <x:f>IF(I66&gt;=90,"S+",IF(I66&gt;=80,"S",IF(I66&gt;=70,"A+",IF(I66&gt;=60,"A",IF(I66&gt;=50,"B+",IF(I66&gt;=40,"B",IF(I66&gt;=30,"C+",IF(I66&gt;=20,"C",IF(I66&gt;=10,"D+","D")))))))))</x:f>
        <x:v>B+</x:v>
      </x:c>
      <x:c r="K66" s="32" t="str">
        <x:v>중간</x:v>
      </x:c>
      <x:c r="L66" s="40" t="str">
        <x:v>확장 전수조사군: 공개 공연·라인업·SNS·업계 활동을 기준으로 상대평가</x:v>
      </x:c>
    </x:row>
    <x:row r="67">
      <x:c r="A67" s="39" t="n">
        <x:f>RANK(I67,$I$5:$I$130,0)</x:f>
        <x:v>60</x:v>
      </x:c>
      <x:c r="B67" s="29" t="str">
        <x:v>SUPER☆GiRLS</x:v>
      </x:c>
      <x:c r="C67" s="32" t="n">
        <x:v>12</x:v>
      </x:c>
      <x:c r="D67" s="32" t="n">
        <x:v>10</x:v>
      </x:c>
      <x:c r="E67" s="32" t="n">
        <x:v>13</x:v>
      </x:c>
      <x:c r="F67" s="32" t="n">
        <x:v>7</x:v>
      </x:c>
      <x:c r="G67" s="32" t="n">
        <x:v>3</x:v>
      </x:c>
      <x:c r="H67" s="32" t="n">
        <x:v>6</x:v>
      </x:c>
      <x:c r="I67" s="32" t="n">
        <x:f>SUM(C67:H67)</x:f>
        <x:v>51</x:v>
      </x:c>
      <x:c r="J67" s="32" t="str">
        <x:f>IF(I67&gt;=90,"S+",IF(I67&gt;=80,"S",IF(I67&gt;=70,"A+",IF(I67&gt;=60,"A",IF(I67&gt;=50,"B+",IF(I67&gt;=40,"B",IF(I67&gt;=30,"C+",IF(I67&gt;=20,"C",IF(I67&gt;=10,"D+","D")))))))))</x:f>
        <x:v>B+</x:v>
      </x:c>
      <x:c r="K67" s="32" t="str">
        <x:v>중간</x:v>
      </x:c>
      <x:c r="L67" s="40" t="str">
        <x:v>확장 전수조사군: 공개 공연·라인업·SNS·업계 활동을 기준으로 상대평가</x:v>
      </x:c>
    </x:row>
    <x:row r="68">
      <x:c r="A68" s="39" t="n">
        <x:f>RANK(I68,$I$5:$I$130,0)</x:f>
        <x:v>60</x:v>
      </x:c>
      <x:c r="B68" s="29" t="str">
        <x:v>夜光性アミューズ</x:v>
      </x:c>
      <x:c r="C68" s="32" t="n">
        <x:v>13</x:v>
      </x:c>
      <x:c r="D68" s="32" t="n">
        <x:v>10</x:v>
      </x:c>
      <x:c r="E68" s="32" t="n">
        <x:v>8</x:v>
      </x:c>
      <x:c r="F68" s="32" t="n">
        <x:v>9</x:v>
      </x:c>
      <x:c r="G68" s="32" t="n">
        <x:v>6</x:v>
      </x:c>
      <x:c r="H68" s="32" t="n">
        <x:v>5</x:v>
      </x:c>
      <x:c r="I68" s="32" t="n">
        <x:f>SUM(C68:H68)</x:f>
        <x:v>51</x:v>
      </x:c>
      <x:c r="J68" s="32" t="str">
        <x:f>IF(I68&gt;=90,"S+",IF(I68&gt;=80,"S",IF(I68&gt;=70,"A+",IF(I68&gt;=60,"A",IF(I68&gt;=50,"B+",IF(I68&gt;=40,"B",IF(I68&gt;=30,"C+",IF(I68&gt;=20,"C",IF(I68&gt;=10,"D+","D")))))))))</x:f>
        <x:v>B+</x:v>
      </x:c>
      <x:c r="K68" s="32" t="str">
        <x:v>중상</x:v>
      </x:c>
      <x:c r="L68" s="40" t="str">
        <x:v>라이브/중소권: 공연장·이벤트·SNS·인지도 자료를 교차 반영</x:v>
      </x:c>
    </x:row>
    <x:row r="69">
      <x:c r="A69" s="39" t="n">
        <x:f>RANK(I69,$I$5:$I$130,0)</x:f>
        <x:v>65</x:v>
      </x:c>
      <x:c r="B69" s="29" t="str">
        <x:v>iScream</x:v>
      </x:c>
      <x:c r="C69" s="32" t="n">
        <x:v>11</x:v>
      </x:c>
      <x:c r="D69" s="32" t="n">
        <x:v>9</x:v>
      </x:c>
      <x:c r="E69" s="32" t="n">
        <x:v>8</x:v>
      </x:c>
      <x:c r="F69" s="32" t="n">
        <x:v>10</x:v>
      </x:c>
      <x:c r="G69" s="32" t="n">
        <x:v>7</x:v>
      </x:c>
      <x:c r="H69" s="32" t="n">
        <x:v>5</x:v>
      </x:c>
      <x:c r="I69" s="32" t="n">
        <x:f>SUM(C69:H69)</x:f>
        <x:v>50</x:v>
      </x:c>
      <x:c r="J69" s="32" t="str">
        <x:f>IF(I69&gt;=90,"S+",IF(I69&gt;=80,"S",IF(I69&gt;=70,"A+",IF(I69&gt;=60,"A",IF(I69&gt;=50,"B+",IF(I69&gt;=40,"B",IF(I69&gt;=30,"C+",IF(I69&gt;=20,"C",IF(I69&gt;=10,"D+","D")))))))))</x:f>
        <x:v>B+</x:v>
      </x:c>
      <x:c r="K69" s="32" t="str">
        <x:v>중간</x:v>
      </x:c>
      <x:c r="L69" s="40" t="str">
        <x:v>확장 전수조사군: 공개 공연·라인업·SNS·업계 활동을 기준으로 상대평가</x:v>
      </x:c>
    </x:row>
    <x:row r="70">
      <x:c r="A70" s="39" t="n">
        <x:f>RANK(I70,$I$5:$I$130,0)</x:f>
        <x:v>65</x:v>
      </x:c>
      <x:c r="B70" s="29" t="str">
        <x:v>yosugala</x:v>
      </x:c>
      <x:c r="C70" s="32" t="n">
        <x:v>12</x:v>
      </x:c>
      <x:c r="D70" s="32" t="n">
        <x:v>10</x:v>
      </x:c>
      <x:c r="E70" s="32" t="n">
        <x:v>9</x:v>
      </x:c>
      <x:c r="F70" s="32" t="n">
        <x:v>7</x:v>
      </x:c>
      <x:c r="G70" s="32" t="n">
        <x:v>6</x:v>
      </x:c>
      <x:c r="H70" s="32" t="n">
        <x:v>6</x:v>
      </x:c>
      <x:c r="I70" s="32" t="n">
        <x:f>SUM(C70:H70)</x:f>
        <x:v>50</x:v>
      </x:c>
      <x:c r="J70" s="32" t="str">
        <x:f>IF(I70&gt;=90,"S+",IF(I70&gt;=80,"S",IF(I70&gt;=70,"A+",IF(I70&gt;=60,"A",IF(I70&gt;=50,"B+",IF(I70&gt;=40,"B",IF(I70&gt;=30,"C+",IF(I70&gt;=20,"C",IF(I70&gt;=10,"D+","D")))))))))</x:f>
        <x:v>B+</x:v>
      </x:c>
      <x:c r="K70" s="32" t="str">
        <x:v>높음</x:v>
      </x:c>
      <x:c r="L70" s="40" t="str">
        <x:v>메이저/중상위권: 복수의 공개 지표와 공연·화제성 자료 반영</x:v>
      </x:c>
    </x:row>
    <x:row r="71">
      <x:c r="A71" s="39" t="n">
        <x:f>RANK(I71,$I$5:$I$130,0)</x:f>
        <x:v>67</x:v>
      </x:c>
      <x:c r="B71" s="29" t="str">
        <x:v>UtaGe!</x:v>
      </x:c>
      <x:c r="C71" s="32" t="n">
        <x:v>12</x:v>
      </x:c>
      <x:c r="D71" s="32" t="n">
        <x:v>10</x:v>
      </x:c>
      <x:c r="E71" s="32" t="n">
        <x:v>7</x:v>
      </x:c>
      <x:c r="F71" s="32" t="n">
        <x:v>8</x:v>
      </x:c>
      <x:c r="G71" s="32" t="n">
        <x:v>7</x:v>
      </x:c>
      <x:c r="H71" s="32" t="n">
        <x:v>5</x:v>
      </x:c>
      <x:c r="I71" s="32" t="n">
        <x:f>SUM(C71:H71)</x:f>
        <x:v>49</x:v>
      </x:c>
      <x:c r="J71" s="32" t="str">
        <x:f>IF(I71&gt;=90,"S+",IF(I71&gt;=80,"S",IF(I71&gt;=70,"A+",IF(I71&gt;=60,"A",IF(I71&gt;=50,"B+",IF(I71&gt;=40,"B",IF(I71&gt;=30,"C+",IF(I71&gt;=20,"C",IF(I71&gt;=10,"D+","D")))))))))</x:f>
        <x:v>B</x:v>
      </x:c>
      <x:c r="K71" s="32" t="str">
        <x:v>중상</x:v>
      </x:c>
      <x:c r="L71" s="40" t="str">
        <x:v>라이브/중소권: 공연장·이벤트·SNS·인지도 자료를 교차 반영</x:v>
      </x:c>
    </x:row>
    <x:row r="72">
      <x:c r="A72" s="39" t="n">
        <x:f>RANK(I72,$I$5:$I$130,0)</x:f>
        <x:v>67</x:v>
      </x:c>
      <x:c r="B72" s="29" t="str">
        <x:v>アンスリューム</x:v>
      </x:c>
      <x:c r="C72" s="32" t="n">
        <x:v>13</x:v>
      </x:c>
      <x:c r="D72" s="32" t="n">
        <x:v>10</x:v>
      </x:c>
      <x:c r="E72" s="32" t="n">
        <x:v>7</x:v>
      </x:c>
      <x:c r="F72" s="32" t="n">
        <x:v>7</x:v>
      </x:c>
      <x:c r="G72" s="32" t="n">
        <x:v>7</x:v>
      </x:c>
      <x:c r="H72" s="32" t="n">
        <x:v>5</x:v>
      </x:c>
      <x:c r="I72" s="32" t="n">
        <x:f>SUM(C72:H72)</x:f>
        <x:v>49</x:v>
      </x:c>
      <x:c r="J72" s="32" t="str">
        <x:f>IF(I72&gt;=90,"S+",IF(I72&gt;=80,"S",IF(I72&gt;=70,"A+",IF(I72&gt;=60,"A",IF(I72&gt;=50,"B+",IF(I72&gt;=40,"B",IF(I72&gt;=30,"C+",IF(I72&gt;=20,"C",IF(I72&gt;=10,"D+","D")))))))))</x:f>
        <x:v>B</x:v>
      </x:c>
      <x:c r="K72" s="32" t="str">
        <x:v>중간</x:v>
      </x:c>
      <x:c r="L72" s="40" t="str">
        <x:v>확장 전수조사군: 공개 공연·라인업·SNS·업계 활동을 기준으로 상대평가</x:v>
      </x:c>
    </x:row>
    <x:row r="73">
      <x:c r="A73" s="39" t="n">
        <x:f>RANK(I73,$I$5:$I$130,0)</x:f>
        <x:v>67</x:v>
      </x:c>
      <x:c r="B73" s="29" t="str">
        <x:v>フィロソフィーのダンス</x:v>
      </x:c>
      <x:c r="C73" s="32" t="n">
        <x:v>11</x:v>
      </x:c>
      <x:c r="D73" s="32" t="n">
        <x:v>9</x:v>
      </x:c>
      <x:c r="E73" s="32" t="n">
        <x:v>10</x:v>
      </x:c>
      <x:c r="F73" s="32" t="n">
        <x:v>8</x:v>
      </x:c>
      <x:c r="G73" s="32" t="n">
        <x:v>5</x:v>
      </x:c>
      <x:c r="H73" s="32" t="n">
        <x:v>6</x:v>
      </x:c>
      <x:c r="I73" s="32" t="n">
        <x:f>SUM(C73:H73)</x:f>
        <x:v>49</x:v>
      </x:c>
      <x:c r="J73" s="32" t="str">
        <x:f>IF(I73&gt;=90,"S+",IF(I73&gt;=80,"S",IF(I73&gt;=70,"A+",IF(I73&gt;=60,"A",IF(I73&gt;=50,"B+",IF(I73&gt;=40,"B",IF(I73&gt;=30,"C+",IF(I73&gt;=20,"C",IF(I73&gt;=10,"D+","D")))))))))</x:f>
        <x:v>B</x:v>
      </x:c>
      <x:c r="K73" s="32" t="str">
        <x:v>중간</x:v>
      </x:c>
      <x:c r="L73" s="40" t="str">
        <x:v>확장 전수조사군: 공개 공연·라인업·SNS·업계 활동을 기준으로 상대평가</x:v>
      </x:c>
    </x:row>
    <x:row r="74">
      <x:c r="A74" s="39" t="n">
        <x:f>RANK(I74,$I$5:$I$130,0)</x:f>
        <x:v>67</x:v>
      </x:c>
      <x:c r="B74" s="29" t="str">
        <x:v>ラフ×ラフ</x:v>
      </x:c>
      <x:c r="C74" s="32" t="n">
        <x:v>10</x:v>
      </x:c>
      <x:c r="D74" s="32" t="n">
        <x:v>8</x:v>
      </x:c>
      <x:c r="E74" s="32" t="n">
        <x:v>8</x:v>
      </x:c>
      <x:c r="F74" s="32" t="n">
        <x:v>9</x:v>
      </x:c>
      <x:c r="G74" s="32" t="n">
        <x:v>7</x:v>
      </x:c>
      <x:c r="H74" s="32" t="n">
        <x:v>7</x:v>
      </x:c>
      <x:c r="I74" s="32" t="n">
        <x:f>SUM(C74:H74)</x:f>
        <x:v>49</x:v>
      </x:c>
      <x:c r="J74" s="32" t="str">
        <x:f>IF(I74&gt;=90,"S+",IF(I74&gt;=80,"S",IF(I74&gt;=70,"A+",IF(I74&gt;=60,"A",IF(I74&gt;=50,"B+",IF(I74&gt;=40,"B",IF(I74&gt;=30,"C+",IF(I74&gt;=20,"C",IF(I74&gt;=10,"D+","D")))))))))</x:f>
        <x:v>B</x:v>
      </x:c>
      <x:c r="K74" s="32" t="str">
        <x:v>중상</x:v>
      </x:c>
      <x:c r="L74" s="40" t="str">
        <x:v>라이브/중소권: 공연장·이벤트·SNS·인지도 자료를 교차 반영</x:v>
      </x:c>
    </x:row>
    <x:row r="75">
      <x:c r="A75" s="39" t="n">
        <x:f>RANK(I75,$I$5:$I$130,0)</x:f>
        <x:v>67</x:v>
      </x:c>
      <x:c r="B75" s="29" t="str">
        <x:v>手羽先センセーション</x:v>
      </x:c>
      <x:c r="C75" s="32" t="n">
        <x:v>13</x:v>
      </x:c>
      <x:c r="D75" s="32" t="n">
        <x:v>10</x:v>
      </x:c>
      <x:c r="E75" s="32" t="n">
        <x:v>8</x:v>
      </x:c>
      <x:c r="F75" s="32" t="n">
        <x:v>6</x:v>
      </x:c>
      <x:c r="G75" s="32" t="n">
        <x:v>6</x:v>
      </x:c>
      <x:c r="H75" s="32" t="n">
        <x:v>6</x:v>
      </x:c>
      <x:c r="I75" s="32" t="n">
        <x:f>SUM(C75:H75)</x:f>
        <x:v>49</x:v>
      </x:c>
      <x:c r="J75" s="32" t="str">
        <x:f>IF(I75&gt;=90,"S+",IF(I75&gt;=80,"S",IF(I75&gt;=70,"A+",IF(I75&gt;=60,"A",IF(I75&gt;=50,"B+",IF(I75&gt;=40,"B",IF(I75&gt;=30,"C+",IF(I75&gt;=20,"C",IF(I75&gt;=10,"D+","D")))))))))</x:f>
        <x:v>B</x:v>
      </x:c>
      <x:c r="K75" s="32" t="str">
        <x:v>중상</x:v>
      </x:c>
      <x:c r="L75" s="40" t="str">
        <x:v>라이브/중소권: 공연장·이벤트·SNS·인지도 자료를 교차 반영</x:v>
      </x:c>
    </x:row>
    <x:row r="76">
      <x:c r="A76" s="39" t="n">
        <x:f>RANK(I76,$I$5:$I$130,0)</x:f>
        <x:v>72</x:v>
      </x:c>
      <x:c r="B76" s="29" t="str">
        <x:v>FES☆TIVE</x:v>
      </x:c>
      <x:c r="C76" s="32" t="n">
        <x:v>12</x:v>
      </x:c>
      <x:c r="D76" s="32" t="n">
        <x:v>10</x:v>
      </x:c>
      <x:c r="E76" s="32" t="n">
        <x:v>8</x:v>
      </x:c>
      <x:c r="F76" s="32" t="n">
        <x:v>7</x:v>
      </x:c>
      <x:c r="G76" s="32" t="n">
        <x:v>5</x:v>
      </x:c>
      <x:c r="H76" s="32" t="n">
        <x:v>6</x:v>
      </x:c>
      <x:c r="I76" s="32" t="n">
        <x:f>SUM(C76:H76)</x:f>
        <x:v>48</x:v>
      </x:c>
      <x:c r="J76" s="32" t="str">
        <x:f>IF(I76&gt;=90,"S+",IF(I76&gt;=80,"S",IF(I76&gt;=70,"A+",IF(I76&gt;=60,"A",IF(I76&gt;=50,"B+",IF(I76&gt;=40,"B",IF(I76&gt;=30,"C+",IF(I76&gt;=20,"C",IF(I76&gt;=10,"D+","D")))))))))</x:f>
        <x:v>B</x:v>
      </x:c>
      <x:c r="K76" s="32" t="str">
        <x:v>중상</x:v>
      </x:c>
      <x:c r="L76" s="40" t="str">
        <x:v>라이브/중소권: 공연장·이벤트·SNS·인지도 자료를 교차 반영</x:v>
      </x:c>
    </x:row>
    <x:row r="77">
      <x:c r="A77" s="39" t="n">
        <x:f>RANK(I77,$I$5:$I$130,0)</x:f>
        <x:v>72</x:v>
      </x:c>
      <x:c r="B77" s="29" t="str">
        <x:v>MyDearDarlin'</x:v>
      </x:c>
      <x:c r="C77" s="32" t="n">
        <x:v>12</x:v>
      </x:c>
      <x:c r="D77" s="32" t="n">
        <x:v>10</x:v>
      </x:c>
      <x:c r="E77" s="32" t="n">
        <x:v>8</x:v>
      </x:c>
      <x:c r="F77" s="32" t="n">
        <x:v>7</x:v>
      </x:c>
      <x:c r="G77" s="32" t="n">
        <x:v>6</x:v>
      </x:c>
      <x:c r="H77" s="32" t="n">
        <x:v>5</x:v>
      </x:c>
      <x:c r="I77" s="32" t="n">
        <x:f>SUM(C77:H77)</x:f>
        <x:v>48</x:v>
      </x:c>
      <x:c r="J77" s="32" t="str">
        <x:f>IF(I77&gt;=90,"S+",IF(I77&gt;=80,"S",IF(I77&gt;=70,"A+",IF(I77&gt;=60,"A",IF(I77&gt;=50,"B+",IF(I77&gt;=40,"B",IF(I77&gt;=30,"C+",IF(I77&gt;=20,"C",IF(I77&gt;=10,"D+","D")))))))))</x:f>
        <x:v>B</x:v>
      </x:c>
      <x:c r="K77" s="32" t="str">
        <x:v>중상</x:v>
      </x:c>
      <x:c r="L77" s="40" t="str">
        <x:v>라이브/중소권: 공연장·이벤트·SNS·인지도 자료를 교차 반영</x:v>
      </x:c>
    </x:row>
    <x:row r="78">
      <x:c r="A78" s="39" t="n">
        <x:f>RANK(I78,$I$5:$I$130,0)</x:f>
        <x:v>72</x:v>
      </x:c>
      <x:c r="B78" s="29" t="str">
        <x:v>ロージークロニクル</x:v>
      </x:c>
      <x:c r="C78" s="32" t="n">
        <x:v>10</x:v>
      </x:c>
      <x:c r="D78" s="32" t="n">
        <x:v>10</x:v>
      </x:c>
      <x:c r="E78" s="32" t="n">
        <x:v>8</x:v>
      </x:c>
      <x:c r="F78" s="32" t="n">
        <x:v>6</x:v>
      </x:c>
      <x:c r="G78" s="32" t="n">
        <x:v>8</x:v>
      </x:c>
      <x:c r="H78" s="32" t="n">
        <x:v>6</x:v>
      </x:c>
      <x:c r="I78" s="32" t="n">
        <x:f>SUM(C78:H78)</x:f>
        <x:v>48</x:v>
      </x:c>
      <x:c r="J78" s="32" t="str">
        <x:f>IF(I78&gt;=90,"S+",IF(I78&gt;=80,"S",IF(I78&gt;=70,"A+",IF(I78&gt;=60,"A",IF(I78&gt;=50,"B+",IF(I78&gt;=40,"B",IF(I78&gt;=30,"C+",IF(I78&gt;=20,"C",IF(I78&gt;=10,"D+","D")))))))))</x:f>
        <x:v>B</x:v>
      </x:c>
      <x:c r="K78" s="32" t="str">
        <x:v>중간</x:v>
      </x:c>
      <x:c r="L78" s="40" t="str">
        <x:v>확장 전수조사군: 공개 공연·라인업·SNS·업계 활동을 기준으로 상대평가</x:v>
      </x:c>
    </x:row>
    <x:row r="79">
      <x:c r="A79" s="39" t="n">
        <x:f>RANK(I79,$I$5:$I$130,0)</x:f>
        <x:v>75</x:v>
      </x:c>
      <x:c r="B79" s="29" t="str">
        <x:v>Task have Fun</x:v>
      </x:c>
      <x:c r="C79" s="32" t="n">
        <x:v>12</x:v>
      </x:c>
      <x:c r="D79" s="32" t="n">
        <x:v>10</x:v>
      </x:c>
      <x:c r="E79" s="32" t="n">
        <x:v>9</x:v>
      </x:c>
      <x:c r="F79" s="32" t="n">
        <x:v>6</x:v>
      </x:c>
      <x:c r="G79" s="32" t="n">
        <x:v>4</x:v>
      </x:c>
      <x:c r="H79" s="32" t="n">
        <x:v>6</x:v>
      </x:c>
      <x:c r="I79" s="32" t="n">
        <x:f>SUM(C79:H79)</x:f>
        <x:v>47</x:v>
      </x:c>
      <x:c r="J79" s="32" t="str">
        <x:f>IF(I79&gt;=90,"S+",IF(I79&gt;=80,"S",IF(I79&gt;=70,"A+",IF(I79&gt;=60,"A",IF(I79&gt;=50,"B+",IF(I79&gt;=40,"B",IF(I79&gt;=30,"C+",IF(I79&gt;=20,"C",IF(I79&gt;=10,"D+","D")))))))))</x:f>
        <x:v>B</x:v>
      </x:c>
      <x:c r="K79" s="32" t="str">
        <x:v>중상</x:v>
      </x:c>
      <x:c r="L79" s="40" t="str">
        <x:v>라이브/중소권: 공연장·이벤트·SNS·인지도 자료를 교차 반영</x:v>
      </x:c>
    </x:row>
    <x:row r="80">
      <x:c r="A80" s="39" t="n">
        <x:f>RANK(I80,$I$5:$I$130,0)</x:f>
        <x:v>75</x:v>
      </x:c>
      <x:c r="B80" s="29" t="str">
        <x:v>なみだ色の消しごむ</x:v>
      </x:c>
      <x:c r="C80" s="32" t="n">
        <x:v>11</x:v>
      </x:c>
      <x:c r="D80" s="32" t="n">
        <x:v>9</x:v>
      </x:c>
      <x:c r="E80" s="32" t="n">
        <x:v>7</x:v>
      </x:c>
      <x:c r="F80" s="32" t="n">
        <x:v>8</x:v>
      </x:c>
      <x:c r="G80" s="32" t="n">
        <x:v>7</x:v>
      </x:c>
      <x:c r="H80" s="32" t="n">
        <x:v>5</x:v>
      </x:c>
      <x:c r="I80" s="32" t="n">
        <x:f>SUM(C80:H80)</x:f>
        <x:v>47</x:v>
      </x:c>
      <x:c r="J80" s="32" t="str">
        <x:f>IF(I80&gt;=90,"S+",IF(I80&gt;=80,"S",IF(I80&gt;=70,"A+",IF(I80&gt;=60,"A",IF(I80&gt;=50,"B+",IF(I80&gt;=40,"B",IF(I80&gt;=30,"C+",IF(I80&gt;=20,"C",IF(I80&gt;=10,"D+","D")))))))))</x:f>
        <x:v>B</x:v>
      </x:c>
      <x:c r="K80" s="32" t="str">
        <x:v>중상</x:v>
      </x:c>
      <x:c r="L80" s="40" t="str">
        <x:v>라이브/중소권: 공연장·이벤트·SNS·인지도 자료를 교차 반영</x:v>
      </x:c>
    </x:row>
    <x:row r="81">
      <x:c r="A81" s="39" t="n">
        <x:f>RANK(I81,$I$5:$I$130,0)</x:f>
        <x:v>77</x:v>
      </x:c>
      <x:c r="B81" s="29" t="str">
        <x:v>#Mooove!</x:v>
      </x:c>
      <x:c r="C81" s="32" t="n">
        <x:v>8</x:v>
      </x:c>
      <x:c r="D81" s="32" t="n">
        <x:v>8</x:v>
      </x:c>
      <x:c r="E81" s="32" t="n">
        <x:v>8</x:v>
      </x:c>
      <x:c r="F81" s="32" t="n">
        <x:v>10</x:v>
      </x:c>
      <x:c r="G81" s="32" t="n">
        <x:v>7</x:v>
      </x:c>
      <x:c r="H81" s="32" t="n">
        <x:v>5</x:v>
      </x:c>
      <x:c r="I81" s="32" t="n">
        <x:f>SUM(C81:H81)</x:f>
        <x:v>46</x:v>
      </x:c>
      <x:c r="J81" s="32" t="str">
        <x:f>IF(I81&gt;=90,"S+",IF(I81&gt;=80,"S",IF(I81&gt;=70,"A+",IF(I81&gt;=60,"A",IF(I81&gt;=50,"B+",IF(I81&gt;=40,"B",IF(I81&gt;=30,"C+",IF(I81&gt;=20,"C",IF(I81&gt;=10,"D+","D")))))))))</x:f>
        <x:v>B</x:v>
      </x:c>
      <x:c r="K81" s="32" t="str">
        <x:v>중상</x:v>
      </x:c>
      <x:c r="L81" s="40" t="str">
        <x:v>라이브/중소권: 공연장·이벤트·SNS·인지도 자료를 교차 반영</x:v>
      </x:c>
    </x:row>
    <x:row r="82">
      <x:c r="A82" s="39" t="n">
        <x:f>RANK(I82,$I$5:$I$130,0)</x:f>
        <x:v>77</x:v>
      </x:c>
      <x:c r="B82" s="29" t="str">
        <x:v>AsIs</x:v>
      </x:c>
      <x:c r="C82" s="32" t="n">
        <x:v>10</x:v>
      </x:c>
      <x:c r="D82" s="32" t="n">
        <x:v>8</x:v>
      </x:c>
      <x:c r="E82" s="32" t="n">
        <x:v>6</x:v>
      </x:c>
      <x:c r="F82" s="32" t="n">
        <x:v>8</x:v>
      </x:c>
      <x:c r="G82" s="32" t="n">
        <x:v>9</x:v>
      </x:c>
      <x:c r="H82" s="32" t="n">
        <x:v>5</x:v>
      </x:c>
      <x:c r="I82" s="32" t="n">
        <x:f>SUM(C82:H82)</x:f>
        <x:v>46</x:v>
      </x:c>
      <x:c r="J82" s="32" t="str">
        <x:f>IF(I82&gt;=90,"S+",IF(I82&gt;=80,"S",IF(I82&gt;=70,"A+",IF(I82&gt;=60,"A",IF(I82&gt;=50,"B+",IF(I82&gt;=40,"B",IF(I82&gt;=30,"C+",IF(I82&gt;=20,"C",IF(I82&gt;=10,"D+","D")))))))))</x:f>
        <x:v>B</x:v>
      </x:c>
      <x:c r="K82" s="32" t="str">
        <x:v>중상</x:v>
      </x:c>
      <x:c r="L82" s="40" t="str">
        <x:v>라이브/중소권: 공연장·이벤트·SNS·인지도 자료를 교차 반영</x:v>
      </x:c>
    </x:row>
    <x:row r="83">
      <x:c r="A83" s="39" t="n">
        <x:f>RANK(I83,$I$5:$I$130,0)</x:f>
        <x:v>77</x:v>
      </x:c>
      <x:c r="B83" s="29" t="str">
        <x:v>衛星とカラテア</x:v>
      </x:c>
      <x:c r="C83" s="32" t="n">
        <x:v>13</x:v>
      </x:c>
      <x:c r="D83" s="32" t="n">
        <x:v>10</x:v>
      </x:c>
      <x:c r="E83" s="32" t="n">
        <x:v>7</x:v>
      </x:c>
      <x:c r="F83" s="32" t="n">
        <x:v>6</x:v>
      </x:c>
      <x:c r="G83" s="32" t="n">
        <x:v>5</x:v>
      </x:c>
      <x:c r="H83" s="32" t="n">
        <x:v>5</x:v>
      </x:c>
      <x:c r="I83" s="32" t="n">
        <x:f>SUM(C83:H83)</x:f>
        <x:v>46</x:v>
      </x:c>
      <x:c r="J83" s="32" t="str">
        <x:f>IF(I83&gt;=90,"S+",IF(I83&gt;=80,"S",IF(I83&gt;=70,"A+",IF(I83&gt;=60,"A",IF(I83&gt;=50,"B+",IF(I83&gt;=40,"B",IF(I83&gt;=30,"C+",IF(I83&gt;=20,"C",IF(I83&gt;=10,"D+","D")))))))))</x:f>
        <x:v>B</x:v>
      </x:c>
      <x:c r="K83" s="32" t="str">
        <x:v>중상</x:v>
      </x:c>
      <x:c r="L83" s="40" t="str">
        <x:v>라이브/중소권: 공연장·이벤트·SNS·인지도 자료를 교차 반영</x:v>
      </x:c>
    </x:row>
    <x:row r="84">
      <x:c r="A84" s="39" t="n">
        <x:f>RANK(I84,$I$5:$I$130,0)</x:f>
        <x:v>80</x:v>
      </x:c>
      <x:c r="B84" s="29" t="str">
        <x:v>NEO JAPONISM</x:v>
      </x:c>
      <x:c r="C84" s="32" t="n">
        <x:v>12</x:v>
      </x:c>
      <x:c r="D84" s="32" t="n">
        <x:v>10</x:v>
      </x:c>
      <x:c r="E84" s="32" t="n">
        <x:v>8</x:v>
      </x:c>
      <x:c r="F84" s="32" t="n">
        <x:v>6</x:v>
      </x:c>
      <x:c r="G84" s="32" t="n">
        <x:v>4</x:v>
      </x:c>
      <x:c r="H84" s="32" t="n">
        <x:v>5</x:v>
      </x:c>
      <x:c r="I84" s="32" t="n">
        <x:f>SUM(C84:H84)</x:f>
        <x:v>45</x:v>
      </x:c>
      <x:c r="J84" s="32" t="str">
        <x:f>IF(I84&gt;=90,"S+",IF(I84&gt;=80,"S",IF(I84&gt;=70,"A+",IF(I84&gt;=60,"A",IF(I84&gt;=50,"B+",IF(I84&gt;=40,"B",IF(I84&gt;=30,"C+",IF(I84&gt;=20,"C",IF(I84&gt;=10,"D+","D")))))))))</x:f>
        <x:v>B</x:v>
      </x:c>
      <x:c r="K84" s="32" t="str">
        <x:v>중상</x:v>
      </x:c>
      <x:c r="L84" s="40" t="str">
        <x:v>라이브/중소권: 공연장·이벤트·SNS·인지도 자료를 교차 반영</x:v>
      </x:c>
    </x:row>
    <x:row r="85">
      <x:c r="A85" s="39" t="n">
        <x:f>RANK(I85,$I$5:$I$130,0)</x:f>
        <x:v>80</x:v>
      </x:c>
      <x:c r="B85" s="29" t="str">
        <x:v>Peel the Apple</x:v>
      </x:c>
      <x:c r="C85" s="32" t="n">
        <x:v>11</x:v>
      </x:c>
      <x:c r="D85" s="32" t="n">
        <x:v>9</x:v>
      </x:c>
      <x:c r="E85" s="32" t="n">
        <x:v>8</x:v>
      </x:c>
      <x:c r="F85" s="32" t="n">
        <x:v>7</x:v>
      </x:c>
      <x:c r="G85" s="32" t="n">
        <x:v>5</x:v>
      </x:c>
      <x:c r="H85" s="32" t="n">
        <x:v>5</x:v>
      </x:c>
      <x:c r="I85" s="32" t="n">
        <x:f>SUM(C85:H85)</x:f>
        <x:v>45</x:v>
      </x:c>
      <x:c r="J85" s="32" t="str">
        <x:f>IF(I85&gt;=90,"S+",IF(I85&gt;=80,"S",IF(I85&gt;=70,"A+",IF(I85&gt;=60,"A",IF(I85&gt;=50,"B+",IF(I85&gt;=40,"B",IF(I85&gt;=30,"C+",IF(I85&gt;=20,"C",IF(I85&gt;=10,"D+","D")))))))))</x:f>
        <x:v>B</x:v>
      </x:c>
      <x:c r="K85" s="32" t="str">
        <x:v>중상</x:v>
      </x:c>
      <x:c r="L85" s="40" t="str">
        <x:v>라이브/중소권: 공연장·이벤트·SNS·인지도 자료를 교차 반영</x:v>
      </x:c>
    </x:row>
    <x:row r="86">
      <x:c r="A86" s="39" t="n">
        <x:f>RANK(I86,$I$5:$I$130,0)</x:f>
        <x:v>80</x:v>
      </x:c>
      <x:c r="B86" s="29" t="str">
        <x:v>ドラマチックレコード</x:v>
      </x:c>
      <x:c r="C86" s="32" t="n">
        <x:v>11</x:v>
      </x:c>
      <x:c r="D86" s="32" t="n">
        <x:v>9</x:v>
      </x:c>
      <x:c r="E86" s="32" t="n">
        <x:v>7</x:v>
      </x:c>
      <x:c r="F86" s="32" t="n">
        <x:v>7</x:v>
      </x:c>
      <x:c r="G86" s="32" t="n">
        <x:v>7</x:v>
      </x:c>
      <x:c r="H86" s="32" t="n">
        <x:v>4</x:v>
      </x:c>
      <x:c r="I86" s="32" t="n">
        <x:f>SUM(C86:H86)</x:f>
        <x:v>45</x:v>
      </x:c>
      <x:c r="J86" s="32" t="str">
        <x:f>IF(I86&gt;=90,"S+",IF(I86&gt;=80,"S",IF(I86&gt;=70,"A+",IF(I86&gt;=60,"A",IF(I86&gt;=50,"B+",IF(I86&gt;=40,"B",IF(I86&gt;=30,"C+",IF(I86&gt;=20,"C",IF(I86&gt;=10,"D+","D")))))))))</x:f>
        <x:v>B</x:v>
      </x:c>
      <x:c r="K86" s="32" t="str">
        <x:v>중간</x:v>
      </x:c>
      <x:c r="L86" s="40" t="str">
        <x:v>확장 전수조사군: 공개 공연·라인업·SNS·업계 활동을 기준으로 상대평가</x:v>
      </x:c>
    </x:row>
    <x:row r="87">
      <x:c r="A87" s="39" t="n">
        <x:f>RANK(I87,$I$5:$I$130,0)</x:f>
        <x:v>83</x:v>
      </x:c>
      <x:c r="B87" s="29" t="str">
        <x:v>GILTY x GILTY</x:v>
      </x:c>
      <x:c r="C87" s="32" t="n">
        <x:v>12</x:v>
      </x:c>
      <x:c r="D87" s="32" t="n">
        <x:v>9</x:v>
      </x:c>
      <x:c r="E87" s="32" t="n">
        <x:v>6</x:v>
      </x:c>
      <x:c r="F87" s="32" t="n">
        <x:v>7</x:v>
      </x:c>
      <x:c r="G87" s="32" t="n">
        <x:v>6</x:v>
      </x:c>
      <x:c r="H87" s="32" t="n">
        <x:v>4</x:v>
      </x:c>
      <x:c r="I87" s="32" t="n">
        <x:f>SUM(C87:H87)</x:f>
        <x:v>44</x:v>
      </x:c>
      <x:c r="J87" s="32" t="str">
        <x:f>IF(I87&gt;=90,"S+",IF(I87&gt;=80,"S",IF(I87&gt;=70,"A+",IF(I87&gt;=60,"A",IF(I87&gt;=50,"B+",IF(I87&gt;=40,"B",IF(I87&gt;=30,"C+",IF(I87&gt;=20,"C",IF(I87&gt;=10,"D+","D")))))))))</x:f>
        <x:v>B</x:v>
      </x:c>
      <x:c r="K87" s="32" t="str">
        <x:v>중간</x:v>
      </x:c>
      <x:c r="L87" s="40" t="str">
        <x:v>확장 전수조사군: 공개 공연·라인업·SNS·업계 활동을 기준으로 상대평가</x:v>
      </x:c>
    </x:row>
    <x:row r="88">
      <x:c r="A88" s="39" t="n">
        <x:f>RANK(I88,$I$5:$I$130,0)</x:f>
        <x:v>83</x:v>
      </x:c>
      <x:c r="B88" s="29" t="str">
        <x:v>MYERA</x:v>
      </x:c>
      <x:c r="C88" s="32" t="n">
        <x:v>8</x:v>
      </x:c>
      <x:c r="D88" s="32" t="n">
        <x:v>7</x:v>
      </x:c>
      <x:c r="E88" s="32" t="n">
        <x:v>7</x:v>
      </x:c>
      <x:c r="F88" s="32" t="n">
        <x:v>10</x:v>
      </x:c>
      <x:c r="G88" s="32" t="n">
        <x:v>8</x:v>
      </x:c>
      <x:c r="H88" s="32" t="n">
        <x:v>4</x:v>
      </x:c>
      <x:c r="I88" s="32" t="n">
        <x:f>SUM(C88:H88)</x:f>
        <x:v>44</x:v>
      </x:c>
      <x:c r="J88" s="32" t="str">
        <x:f>IF(I88&gt;=90,"S+",IF(I88&gt;=80,"S",IF(I88&gt;=70,"A+",IF(I88&gt;=60,"A",IF(I88&gt;=50,"B+",IF(I88&gt;=40,"B",IF(I88&gt;=30,"C+",IF(I88&gt;=20,"C",IF(I88&gt;=10,"D+","D")))))))))</x:f>
        <x:v>B</x:v>
      </x:c>
      <x:c r="K88" s="32" t="str">
        <x:v>중간</x:v>
      </x:c>
      <x:c r="L88" s="40" t="str">
        <x:v>확장 전수조사군: 공개 공연·라인업·SNS·업계 활동을 기준으로 상대평가</x:v>
      </x:c>
    </x:row>
    <x:row r="89">
      <x:c r="A89" s="39" t="n">
        <x:f>RANK(I89,$I$5:$I$130,0)</x:f>
        <x:v>83</x:v>
      </x:c>
      <x:c r="B89" s="29" t="str">
        <x:v>THE ORCHESTRA TOKYO</x:v>
      </x:c>
      <x:c r="C89" s="32" t="n">
        <x:v>12</x:v>
      </x:c>
      <x:c r="D89" s="32" t="n">
        <x:v>9</x:v>
      </x:c>
      <x:c r="E89" s="32" t="n">
        <x:v>6</x:v>
      </x:c>
      <x:c r="F89" s="32" t="n">
        <x:v>6</x:v>
      </x:c>
      <x:c r="G89" s="32" t="n">
        <x:v>6</x:v>
      </x:c>
      <x:c r="H89" s="32" t="n">
        <x:v>5</x:v>
      </x:c>
      <x:c r="I89" s="32" t="n">
        <x:f>SUM(C89:H89)</x:f>
        <x:v>44</x:v>
      </x:c>
      <x:c r="J89" s="32" t="str">
        <x:f>IF(I89&gt;=90,"S+",IF(I89&gt;=80,"S",IF(I89&gt;=70,"A+",IF(I89&gt;=60,"A",IF(I89&gt;=50,"B+",IF(I89&gt;=40,"B",IF(I89&gt;=30,"C+",IF(I89&gt;=20,"C",IF(I89&gt;=10,"D+","D")))))))))</x:f>
        <x:v>B</x:v>
      </x:c>
      <x:c r="K89" s="32" t="str">
        <x:v>중간</x:v>
      </x:c>
      <x:c r="L89" s="40" t="str">
        <x:v>확장 전수조사군: 공개 공연·라인업·SNS·업계 활동을 기준으로 상대평가</x:v>
      </x:c>
    </x:row>
    <x:row r="90">
      <x:c r="A90" s="39" t="n">
        <x:f>RANK(I90,$I$5:$I$130,0)</x:f>
        <x:v>86</x:v>
      </x:c>
      <x:c r="B90" s="29" t="str">
        <x:v>KiSS KiSS</x:v>
      </x:c>
      <x:c r="C90" s="32" t="n">
        <x:v>11</x:v>
      </x:c>
      <x:c r="D90" s="32" t="n">
        <x:v>9</x:v>
      </x:c>
      <x:c r="E90" s="32" t="n">
        <x:v>7</x:v>
      </x:c>
      <x:c r="F90" s="32" t="n">
        <x:v>6</x:v>
      </x:c>
      <x:c r="G90" s="32" t="n">
        <x:v>5</x:v>
      </x:c>
      <x:c r="H90" s="32" t="n">
        <x:v>5</x:v>
      </x:c>
      <x:c r="I90" s="32" t="n">
        <x:f>SUM(C90:H90)</x:f>
        <x:v>43</x:v>
      </x:c>
      <x:c r="J90" s="32" t="str">
        <x:f>IF(I90&gt;=90,"S+",IF(I90&gt;=80,"S",IF(I90&gt;=70,"A+",IF(I90&gt;=60,"A",IF(I90&gt;=50,"B+",IF(I90&gt;=40,"B",IF(I90&gt;=30,"C+",IF(I90&gt;=20,"C",IF(I90&gt;=10,"D+","D")))))))))</x:f>
        <x:v>B</x:v>
      </x:c>
      <x:c r="K90" s="32" t="str">
        <x:v>중간</x:v>
      </x:c>
      <x:c r="L90" s="40" t="str">
        <x:v>확장 전수조사군: 공개 공연·라인업·SNS·업계 활동을 기준으로 상대평가</x:v>
      </x:c>
    </x:row>
    <x:row r="91">
      <x:c r="A91" s="39" t="n">
        <x:f>RANK(I91,$I$5:$I$130,0)</x:f>
        <x:v>86</x:v>
      </x:c>
      <x:c r="B91" s="29" t="str">
        <x:v>LinQ</x:v>
      </x:c>
      <x:c r="C91" s="32" t="n">
        <x:v>10</x:v>
      </x:c>
      <x:c r="D91" s="32" t="n">
        <x:v>9</x:v>
      </x:c>
      <x:c r="E91" s="32" t="n">
        <x:v>9</x:v>
      </x:c>
      <x:c r="F91" s="32" t="n">
        <x:v>6</x:v>
      </x:c>
      <x:c r="G91" s="32" t="n">
        <x:v>4</x:v>
      </x:c>
      <x:c r="H91" s="32" t="n">
        <x:v>5</x:v>
      </x:c>
      <x:c r="I91" s="32" t="n">
        <x:f>SUM(C91:H91)</x:f>
        <x:v>43</x:v>
      </x:c>
      <x:c r="J91" s="32" t="str">
        <x:f>IF(I91&gt;=90,"S+",IF(I91&gt;=80,"S",IF(I91&gt;=70,"A+",IF(I91&gt;=60,"A",IF(I91&gt;=50,"B+",IF(I91&gt;=40,"B",IF(I91&gt;=30,"C+",IF(I91&gt;=20,"C",IF(I91&gt;=10,"D+","D")))))))))</x:f>
        <x:v>B</x:v>
      </x:c>
      <x:c r="K91" s="32" t="str">
        <x:v>중간</x:v>
      </x:c>
      <x:c r="L91" s="40" t="str">
        <x:v>확장 전수조사군: 공개 공연·라인업·SNS·업계 활동을 기준으로 상대평가</x:v>
      </x:c>
    </x:row>
    <x:row r="92">
      <x:c r="A92" s="39" t="n">
        <x:f>RANK(I92,$I$5:$I$130,0)</x:f>
        <x:v>86</x:v>
      </x:c>
      <x:c r="B92" s="29" t="str">
        <x:v>TENRIN</x:v>
      </x:c>
      <x:c r="C92" s="32" t="n">
        <x:v>12</x:v>
      </x:c>
      <x:c r="D92" s="32" t="n">
        <x:v>8</x:v>
      </x:c>
      <x:c r="E92" s="32" t="n">
        <x:v>6</x:v>
      </x:c>
      <x:c r="F92" s="32" t="n">
        <x:v>7</x:v>
      </x:c>
      <x:c r="G92" s="32" t="n">
        <x:v>5</x:v>
      </x:c>
      <x:c r="H92" s="32" t="n">
        <x:v>5</x:v>
      </x:c>
      <x:c r="I92" s="32" t="n">
        <x:f>SUM(C92:H92)</x:f>
        <x:v>43</x:v>
      </x:c>
      <x:c r="J92" s="32" t="str">
        <x:f>IF(I92&gt;=90,"S+",IF(I92&gt;=80,"S",IF(I92&gt;=70,"A+",IF(I92&gt;=60,"A",IF(I92&gt;=50,"B+",IF(I92&gt;=40,"B",IF(I92&gt;=30,"C+",IF(I92&gt;=20,"C",IF(I92&gt;=10,"D+","D")))))))))</x:f>
        <x:v>B</x:v>
      </x:c>
      <x:c r="K92" s="32" t="str">
        <x:v>중간</x:v>
      </x:c>
      <x:c r="L92" s="40" t="str">
        <x:v>확장 전수조사군: 공개 공연·라인업·SNS·업계 활동을 기준으로 상대평가</x:v>
      </x:c>
    </x:row>
    <x:row r="93">
      <x:c r="A93" s="39" t="n">
        <x:f>RANK(I93,$I$5:$I$130,0)</x:f>
        <x:v>89</x:v>
      </x:c>
      <x:c r="B93" s="29" t="str">
        <x:v>#よーよーよー</x:v>
      </x:c>
      <x:c r="C93" s="32" t="n">
        <x:v>8</x:v>
      </x:c>
      <x:c r="D93" s="32" t="n">
        <x:v>8</x:v>
      </x:c>
      <x:c r="E93" s="32" t="n">
        <x:v>8</x:v>
      </x:c>
      <x:c r="F93" s="32" t="n">
        <x:v>10</x:v>
      </x:c>
      <x:c r="G93" s="32" t="n">
        <x:v>4</x:v>
      </x:c>
      <x:c r="H93" s="32" t="n">
        <x:v>4</x:v>
      </x:c>
      <x:c r="I93" s="32" t="n">
        <x:f>SUM(C93:H93)</x:f>
        <x:v>42</x:v>
      </x:c>
      <x:c r="J93" s="32" t="str">
        <x:f>IF(I93&gt;=90,"S+",IF(I93&gt;=80,"S",IF(I93&gt;=70,"A+",IF(I93&gt;=60,"A",IF(I93&gt;=50,"B+",IF(I93&gt;=40,"B",IF(I93&gt;=30,"C+",IF(I93&gt;=20,"C",IF(I93&gt;=10,"D+","D")))))))))</x:f>
        <x:v>B</x:v>
      </x:c>
      <x:c r="K93" s="32" t="str">
        <x:v>중상</x:v>
      </x:c>
      <x:c r="L93" s="40" t="str">
        <x:v>라이브/중소권: 공연장·이벤트·SNS·인지도 자료를 교차 반영</x:v>
      </x:c>
    </x:row>
    <x:row r="94">
      <x:c r="A94" s="39" t="n">
        <x:f>RANK(I94,$I$5:$I$130,0)</x:f>
        <x:v>89</x:v>
      </x:c>
      <x:c r="B94" s="29" t="str">
        <x:v>STAiNY</x:v>
      </x:c>
      <x:c r="C94" s="32" t="n">
        <x:v>10</x:v>
      </x:c>
      <x:c r="D94" s="32" t="n">
        <x:v>8</x:v>
      </x:c>
      <x:c r="E94" s="32" t="n">
        <x:v>6</x:v>
      </x:c>
      <x:c r="F94" s="32" t="n">
        <x:v>7</x:v>
      </x:c>
      <x:c r="G94" s="32" t="n">
        <x:v>6</x:v>
      </x:c>
      <x:c r="H94" s="32" t="n">
        <x:v>5</x:v>
      </x:c>
      <x:c r="I94" s="32" t="n">
        <x:f>SUM(C94:H94)</x:f>
        <x:v>42</x:v>
      </x:c>
      <x:c r="J94" s="32" t="str">
        <x:f>IF(I94&gt;=90,"S+",IF(I94&gt;=80,"S",IF(I94&gt;=70,"A+",IF(I94&gt;=60,"A",IF(I94&gt;=50,"B+",IF(I94&gt;=40,"B",IF(I94&gt;=30,"C+",IF(I94&gt;=20,"C",IF(I94&gt;=10,"D+","D")))))))))</x:f>
        <x:v>B</x:v>
      </x:c>
      <x:c r="K94" s="32" t="str">
        <x:v>중간</x:v>
      </x:c>
      <x:c r="L94" s="40" t="str">
        <x:v>확장 전수조사군: 공개 공연·라인업·SNS·업계 활동을 기준으로 상대평가</x:v>
      </x:c>
    </x:row>
    <x:row r="95">
      <x:c r="A95" s="39" t="n">
        <x:f>RANK(I95,$I$5:$I$130,0)</x:f>
        <x:v>89</x:v>
      </x:c>
      <x:c r="B95" s="29" t="str">
        <x:v>THE ENCORE</x:v>
      </x:c>
      <x:c r="C95" s="32" t="n">
        <x:v>11</x:v>
      </x:c>
      <x:c r="D95" s="32" t="n">
        <x:v>8</x:v>
      </x:c>
      <x:c r="E95" s="32" t="n">
        <x:v>6</x:v>
      </x:c>
      <x:c r="F95" s="32" t="n">
        <x:v>7</x:v>
      </x:c>
      <x:c r="G95" s="32" t="n">
        <x:v>6</x:v>
      </x:c>
      <x:c r="H95" s="32" t="n">
        <x:v>4</x:v>
      </x:c>
      <x:c r="I95" s="32" t="n">
        <x:f>SUM(C95:H95)</x:f>
        <x:v>42</x:v>
      </x:c>
      <x:c r="J95" s="32" t="str">
        <x:f>IF(I95&gt;=90,"S+",IF(I95&gt;=80,"S",IF(I95&gt;=70,"A+",IF(I95&gt;=60,"A",IF(I95&gt;=50,"B+",IF(I95&gt;=40,"B",IF(I95&gt;=30,"C+",IF(I95&gt;=20,"C",IF(I95&gt;=10,"D+","D")))))))))</x:f>
        <x:v>B</x:v>
      </x:c>
      <x:c r="K95" s="32" t="str">
        <x:v>중간</x:v>
      </x:c>
      <x:c r="L95" s="40" t="str">
        <x:v>확장 전수조사군: 공개 공연·라인업·SNS·업계 활동을 기준으로 상대평가</x:v>
      </x:c>
    </x:row>
    <x:row r="96">
      <x:c r="A96" s="39" t="n">
        <x:f>RANK(I96,$I$5:$I$130,0)</x:f>
        <x:v>89</x:v>
      </x:c>
      <x:c r="B96" s="29" t="str">
        <x:v>UN1CON</x:v>
      </x:c>
      <x:c r="C96" s="32" t="n">
        <x:v>7</x:v>
      </x:c>
      <x:c r="D96" s="32" t="n">
        <x:v>6</x:v>
      </x:c>
      <x:c r="E96" s="32" t="n">
        <x:v>6</x:v>
      </x:c>
      <x:c r="F96" s="32" t="n">
        <x:v>10</x:v>
      </x:c>
      <x:c r="G96" s="32" t="n">
        <x:v>9</x:v>
      </x:c>
      <x:c r="H96" s="32" t="n">
        <x:v>4</x:v>
      </x:c>
      <x:c r="I96" s="32" t="n">
        <x:f>SUM(C96:H96)</x:f>
        <x:v>42</x:v>
      </x:c>
      <x:c r="J96" s="32" t="str">
        <x:f>IF(I96&gt;=90,"S+",IF(I96&gt;=80,"S",IF(I96&gt;=70,"A+",IF(I96&gt;=60,"A",IF(I96&gt;=50,"B+",IF(I96&gt;=40,"B",IF(I96&gt;=30,"C+",IF(I96&gt;=20,"C",IF(I96&gt;=10,"D+","D")))))))))</x:f>
        <x:v>B</x:v>
      </x:c>
      <x:c r="K96" s="32" t="str">
        <x:v>중간</x:v>
      </x:c>
      <x:c r="L96" s="40" t="str">
        <x:v>확장 전수조사군: 공개 공연·라인업·SNS·업계 활동을 기준으로 상대평가</x:v>
      </x:c>
    </x:row>
    <x:row r="97">
      <x:c r="A97" s="39" t="n">
        <x:f>RANK(I97,$I$5:$I$130,0)</x:f>
        <x:v>89</x:v>
      </x:c>
      <x:c r="B97" s="29" t="str">
        <x:v>ジエメイ</x:v>
      </x:c>
      <x:c r="C97" s="32" t="n">
        <x:v>12</x:v>
      </x:c>
      <x:c r="D97" s="32" t="n">
        <x:v>9</x:v>
      </x:c>
      <x:c r="E97" s="32" t="n">
        <x:v>6</x:v>
      </x:c>
      <x:c r="F97" s="32" t="n">
        <x:v>6</x:v>
      </x:c>
      <x:c r="G97" s="32" t="n">
        <x:v>5</x:v>
      </x:c>
      <x:c r="H97" s="32" t="n">
        <x:v>4</x:v>
      </x:c>
      <x:c r="I97" s="32" t="n">
        <x:f>SUM(C97:H97)</x:f>
        <x:v>42</x:v>
      </x:c>
      <x:c r="J97" s="32" t="str">
        <x:f>IF(I97&gt;=90,"S+",IF(I97&gt;=80,"S",IF(I97&gt;=70,"A+",IF(I97&gt;=60,"A",IF(I97&gt;=50,"B+",IF(I97&gt;=40,"B",IF(I97&gt;=30,"C+",IF(I97&gt;=20,"C",IF(I97&gt;=10,"D+","D")))))))))</x:f>
        <x:v>B</x:v>
      </x:c>
      <x:c r="K97" s="32" t="str">
        <x:v>중간</x:v>
      </x:c>
      <x:c r="L97" s="40" t="str">
        <x:v>확장 전수조사군: 공개 공연·라인업·SNS·업계 활동을 기준으로 상대평가</x:v>
      </x:c>
    </x:row>
    <x:row r="98">
      <x:c r="A98" s="39" t="n">
        <x:f>RANK(I98,$I$5:$I$130,0)</x:f>
        <x:v>89</x:v>
      </x:c>
      <x:c r="B98" s="29" t="str">
        <x:v>純情のアフィリア</x:v>
      </x:c>
      <x:c r="C98" s="32" t="n">
        <x:v>10</x:v>
      </x:c>
      <x:c r="D98" s="32" t="n">
        <x:v>8</x:v>
      </x:c>
      <x:c r="E98" s="32" t="n">
        <x:v>9</x:v>
      </x:c>
      <x:c r="F98" s="32" t="n">
        <x:v>6</x:v>
      </x:c>
      <x:c r="G98" s="32" t="n">
        <x:v>4</x:v>
      </x:c>
      <x:c r="H98" s="32" t="n">
        <x:v>5</x:v>
      </x:c>
      <x:c r="I98" s="32" t="n">
        <x:f>SUM(C98:H98)</x:f>
        <x:v>42</x:v>
      </x:c>
      <x:c r="J98" s="32" t="str">
        <x:f>IF(I98&gt;=90,"S+",IF(I98&gt;=80,"S",IF(I98&gt;=70,"A+",IF(I98&gt;=60,"A",IF(I98&gt;=50,"B+",IF(I98&gt;=40,"B",IF(I98&gt;=30,"C+",IF(I98&gt;=20,"C",IF(I98&gt;=10,"D+","D")))))))))</x:f>
        <x:v>B</x:v>
      </x:c>
      <x:c r="K98" s="32" t="str">
        <x:v>중간</x:v>
      </x:c>
      <x:c r="L98" s="40" t="str">
        <x:v>확장 전수조사군: 공개 공연·라인업·SNS·업계 활동을 기준으로 상대평가</x:v>
      </x:c>
    </x:row>
    <x:row r="99">
      <x:c r="A99" s="39" t="n">
        <x:f>RANK(I99,$I$5:$I$130,0)</x:f>
        <x:v>95</x:v>
      </x:c>
      <x:c r="B99" s="29" t="str">
        <x:v>SITUASION</x:v>
      </x:c>
      <x:c r="C99" s="32" t="n">
        <x:v>11</x:v>
      </x:c>
      <x:c r="D99" s="32" t="n">
        <x:v>8</x:v>
      </x:c>
      <x:c r="E99" s="32" t="n">
        <x:v>6</x:v>
      </x:c>
      <x:c r="F99" s="32" t="n">
        <x:v>6</x:v>
      </x:c>
      <x:c r="G99" s="32" t="n">
        <x:v>6</x:v>
      </x:c>
      <x:c r="H99" s="32" t="n">
        <x:v>4</x:v>
      </x:c>
      <x:c r="I99" s="32" t="n">
        <x:f>SUM(C99:H99)</x:f>
        <x:v>41</x:v>
      </x:c>
      <x:c r="J99" s="32" t="str">
        <x:f>IF(I99&gt;=90,"S+",IF(I99&gt;=80,"S",IF(I99&gt;=70,"A+",IF(I99&gt;=60,"A",IF(I99&gt;=50,"B+",IF(I99&gt;=40,"B",IF(I99&gt;=30,"C+",IF(I99&gt;=20,"C",IF(I99&gt;=10,"D+","D")))))))))</x:f>
        <x:v>B</x:v>
      </x:c>
      <x:c r="K99" s="32" t="str">
        <x:v>중간</x:v>
      </x:c>
      <x:c r="L99" s="40" t="str">
        <x:v>확장 전수조사군: 공개 공연·라인업·SNS·업계 활동을 기준으로 상대평가</x:v>
      </x:c>
    </x:row>
    <x:row r="100">
      <x:c r="A100" s="39" t="n">
        <x:f>RANK(I100,$I$5:$I$130,0)</x:f>
        <x:v>95</x:v>
      </x:c>
      <x:c r="B100" s="29" t="str">
        <x:v>アップアップガールズ（仮）</x:v>
      </x:c>
      <x:c r="C100" s="32" t="n">
        <x:v>11</x:v>
      </x:c>
      <x:c r="D100" s="32" t="n">
        <x:v>8</x:v>
      </x:c>
      <x:c r="E100" s="32" t="n">
        <x:v>9</x:v>
      </x:c>
      <x:c r="F100" s="32" t="n">
        <x:v>5</x:v>
      </x:c>
      <x:c r="G100" s="32" t="n">
        <x:v>3</x:v>
      </x:c>
      <x:c r="H100" s="32" t="n">
        <x:v>5</x:v>
      </x:c>
      <x:c r="I100" s="32" t="n">
        <x:f>SUM(C100:H100)</x:f>
        <x:v>41</x:v>
      </x:c>
      <x:c r="J100" s="32" t="str">
        <x:f>IF(I100&gt;=90,"S+",IF(I100&gt;=80,"S",IF(I100&gt;=70,"A+",IF(I100&gt;=60,"A",IF(I100&gt;=50,"B+",IF(I100&gt;=40,"B",IF(I100&gt;=30,"C+",IF(I100&gt;=20,"C",IF(I100&gt;=10,"D+","D")))))))))</x:f>
        <x:v>B</x:v>
      </x:c>
      <x:c r="K100" s="32" t="str">
        <x:v>중간</x:v>
      </x:c>
      <x:c r="L100" s="40" t="str">
        <x:v>확장 전수조사군: 공개 공연·라인업·SNS·업계 활동을 기준으로 상대평가</x:v>
      </x:c>
    </x:row>
    <x:row r="101">
      <x:c r="A101" s="39" t="n">
        <x:f>RANK(I101,$I$5:$I$130,0)</x:f>
        <x:v>95</x:v>
      </x:c>
      <x:c r="B101" s="29" t="str">
        <x:v>二丁目の魁カミングアウト</x:v>
      </x:c>
      <x:c r="C101" s="32" t="n">
        <x:v>11</x:v>
      </x:c>
      <x:c r="D101" s="32" t="n">
        <x:v>9</x:v>
      </x:c>
      <x:c r="E101" s="32" t="n">
        <x:v>7</x:v>
      </x:c>
      <x:c r="F101" s="32" t="n">
        <x:v>5</x:v>
      </x:c>
      <x:c r="G101" s="32" t="n">
        <x:v>4</x:v>
      </x:c>
      <x:c r="H101" s="32" t="n">
        <x:v>5</x:v>
      </x:c>
      <x:c r="I101" s="32" t="n">
        <x:f>SUM(C101:H101)</x:f>
        <x:v>41</x:v>
      </x:c>
      <x:c r="J101" s="32" t="str">
        <x:f>IF(I101&gt;=90,"S+",IF(I101&gt;=80,"S",IF(I101&gt;=70,"A+",IF(I101&gt;=60,"A",IF(I101&gt;=50,"B+",IF(I101&gt;=40,"B",IF(I101&gt;=30,"C+",IF(I101&gt;=20,"C",IF(I101&gt;=10,"D+","D")))))))))</x:f>
        <x:v>B</x:v>
      </x:c>
      <x:c r="K101" s="32" t="str">
        <x:v>중간</x:v>
      </x:c>
      <x:c r="L101" s="40" t="str">
        <x:v>확장 전수조사군: 공개 공연·라인업·SNS·업계 활동을 기준으로 상대평가</x:v>
      </x:c>
    </x:row>
    <x:row r="102">
      <x:c r="A102" s="39" t="n">
        <x:f>RANK(I102,$I$5:$I$130,0)</x:f>
        <x:v>98</x:v>
      </x:c>
      <x:c r="B102" s="29" t="str">
        <x:v>CiON</x:v>
      </x:c>
      <x:c r="C102" s="32" t="n">
        <x:v>10</x:v>
      </x:c>
      <x:c r="D102" s="32" t="n">
        <x:v>8</x:v>
      </x:c>
      <x:c r="E102" s="32" t="n">
        <x:v>6</x:v>
      </x:c>
      <x:c r="F102" s="32" t="n">
        <x:v>6</x:v>
      </x:c>
      <x:c r="G102" s="32" t="n">
        <x:v>5</x:v>
      </x:c>
      <x:c r="H102" s="32" t="n">
        <x:v>5</x:v>
      </x:c>
      <x:c r="I102" s="32" t="n">
        <x:f>SUM(C102:H102)</x:f>
        <x:v>40</x:v>
      </x:c>
      <x:c r="J102" s="32" t="str">
        <x:f>IF(I102&gt;=90,"S+",IF(I102&gt;=80,"S",IF(I102&gt;=70,"A+",IF(I102&gt;=60,"A",IF(I102&gt;=50,"B+",IF(I102&gt;=40,"B",IF(I102&gt;=30,"C+",IF(I102&gt;=20,"C",IF(I102&gt;=10,"D+","D")))))))))</x:f>
        <x:v>B</x:v>
      </x:c>
      <x:c r="K102" s="32" t="str">
        <x:v>중상</x:v>
      </x:c>
      <x:c r="L102" s="40" t="str">
        <x:v>라이브/중소권: 공연장·이벤트·SNS·인지도 자료를 교차 반영</x:v>
      </x:c>
    </x:row>
    <x:row r="103">
      <x:c r="A103" s="39" t="n">
        <x:f>RANK(I103,$I$5:$I$130,0)</x:f>
        <x:v>98</x:v>
      </x:c>
      <x:c r="B103" s="29" t="str">
        <x:v>chuLa</x:v>
      </x:c>
      <x:c r="C103" s="32" t="n">
        <x:v>10</x:v>
      </x:c>
      <x:c r="D103" s="32" t="n">
        <x:v>8</x:v>
      </x:c>
      <x:c r="E103" s="32" t="n">
        <x:v>6</x:v>
      </x:c>
      <x:c r="F103" s="32" t="n">
        <x:v>7</x:v>
      </x:c>
      <x:c r="G103" s="32" t="n">
        <x:v>5</x:v>
      </x:c>
      <x:c r="H103" s="32" t="n">
        <x:v>4</x:v>
      </x:c>
      <x:c r="I103" s="32" t="n">
        <x:f>SUM(C103:H103)</x:f>
        <x:v>40</x:v>
      </x:c>
      <x:c r="J103" s="32" t="str">
        <x:f>IF(I103&gt;=90,"S+",IF(I103&gt;=80,"S",IF(I103&gt;=70,"A+",IF(I103&gt;=60,"A",IF(I103&gt;=50,"B+",IF(I103&gt;=40,"B",IF(I103&gt;=30,"C+",IF(I103&gt;=20,"C",IF(I103&gt;=10,"D+","D")))))))))</x:f>
        <x:v>B</x:v>
      </x:c>
      <x:c r="K103" s="32" t="str">
        <x:v>중간</x:v>
      </x:c>
      <x:c r="L103" s="40" t="str">
        <x:v>확장 전수조사군: 공개 공연·라인업·SNS·업계 활동을 기준으로 상대평가</x:v>
      </x:c>
    </x:row>
    <x:row r="104">
      <x:c r="A104" s="39" t="n">
        <x:f>RANK(I104,$I$5:$I$130,0)</x:f>
        <x:v>98</x:v>
      </x:c>
      <x:c r="B104" s="29" t="str">
        <x:v>きのホ。</x:v>
      </x:c>
      <x:c r="C104" s="32" t="n">
        <x:v>10</x:v>
      </x:c>
      <x:c r="D104" s="32" t="n">
        <x:v>8</x:v>
      </x:c>
      <x:c r="E104" s="32" t="n">
        <x:v>7</x:v>
      </x:c>
      <x:c r="F104" s="32" t="n">
        <x:v>6</x:v>
      </x:c>
      <x:c r="G104" s="32" t="n">
        <x:v>5</x:v>
      </x:c>
      <x:c r="H104" s="32" t="n">
        <x:v>4</x:v>
      </x:c>
      <x:c r="I104" s="32" t="n">
        <x:f>SUM(C104:H104)</x:f>
        <x:v>40</x:v>
      </x:c>
      <x:c r="J104" s="32" t="str">
        <x:f>IF(I104&gt;=90,"S+",IF(I104&gt;=80,"S",IF(I104&gt;=70,"A+",IF(I104&gt;=60,"A",IF(I104&gt;=50,"B+",IF(I104&gt;=40,"B",IF(I104&gt;=30,"C+",IF(I104&gt;=20,"C",IF(I104&gt;=10,"D+","D")))))))))</x:f>
        <x:v>B</x:v>
      </x:c>
      <x:c r="K104" s="32" t="str">
        <x:v>중간</x:v>
      </x:c>
      <x:c r="L104" s="40" t="str">
        <x:v>확장 전수조사군: 공개 공연·라인업·SNS·업계 활동을 기준으로 상대평가</x:v>
      </x:c>
    </x:row>
    <x:row r="105">
      <x:c r="A105" s="39" t="n">
        <x:f>RANK(I105,$I$5:$I$130,0)</x:f>
        <x:v>98</x:v>
      </x:c>
      <x:c r="B105" s="29" t="str">
        <x:v>カラフルスクリーム</x:v>
      </x:c>
      <x:c r="C105" s="32" t="n">
        <x:v>10</x:v>
      </x:c>
      <x:c r="D105" s="32" t="n">
        <x:v>8</x:v>
      </x:c>
      <x:c r="E105" s="32" t="n">
        <x:v>7</x:v>
      </x:c>
      <x:c r="F105" s="32" t="n">
        <x:v>6</x:v>
      </x:c>
      <x:c r="G105" s="32" t="n">
        <x:v>5</x:v>
      </x:c>
      <x:c r="H105" s="32" t="n">
        <x:v>4</x:v>
      </x:c>
      <x:c r="I105" s="32" t="n">
        <x:f>SUM(C105:H105)</x:f>
        <x:v>40</x:v>
      </x:c>
      <x:c r="J105" s="32" t="str">
        <x:f>IF(I105&gt;=90,"S+",IF(I105&gt;=80,"S",IF(I105&gt;=70,"A+",IF(I105&gt;=60,"A",IF(I105&gt;=50,"B+",IF(I105&gt;=40,"B",IF(I105&gt;=30,"C+",IF(I105&gt;=20,"C",IF(I105&gt;=10,"D+","D")))))))))</x:f>
        <x:v>B</x:v>
      </x:c>
      <x:c r="K105" s="32" t="str">
        <x:v>중간</x:v>
      </x:c>
      <x:c r="L105" s="40" t="str">
        <x:v>확장 전수조사군: 공개 공연·라인업·SNS·업계 활동을 기준으로 상대평가</x:v>
      </x:c>
    </x:row>
    <x:row r="106">
      <x:c r="A106" s="39" t="n">
        <x:f>RANK(I106,$I$5:$I$130,0)</x:f>
        <x:v>98</x:v>
      </x:c>
      <x:c r="B106" s="29" t="str">
        <x:v>クマリデパート</x:v>
      </x:c>
      <x:c r="C106" s="32" t="n">
        <x:v>10</x:v>
      </x:c>
      <x:c r="D106" s="32" t="n">
        <x:v>8</x:v>
      </x:c>
      <x:c r="E106" s="32" t="n">
        <x:v>7</x:v>
      </x:c>
      <x:c r="F106" s="32" t="n">
        <x:v>6</x:v>
      </x:c>
      <x:c r="G106" s="32" t="n">
        <x:v>4</x:v>
      </x:c>
      <x:c r="H106" s="32" t="n">
        <x:v>5</x:v>
      </x:c>
      <x:c r="I106" s="32" t="n">
        <x:f>SUM(C106:H106)</x:f>
        <x:v>40</x:v>
      </x:c>
      <x:c r="J106" s="32" t="str">
        <x:f>IF(I106&gt;=90,"S+",IF(I106&gt;=80,"S",IF(I106&gt;=70,"A+",IF(I106&gt;=60,"A",IF(I106&gt;=50,"B+",IF(I106&gt;=40,"B",IF(I106&gt;=30,"C+",IF(I106&gt;=20,"C",IF(I106&gt;=10,"D+","D")))))))))</x:f>
        <x:v>B</x:v>
      </x:c>
      <x:c r="K106" s="32" t="str">
        <x:v>중상</x:v>
      </x:c>
      <x:c r="L106" s="40" t="str">
        <x:v>라이브/중소권: 공연장·이벤트·SNS·인지도 자료를 교차 반영</x:v>
      </x:c>
    </x:row>
    <x:row r="107">
      <x:c r="A107" s="39" t="n">
        <x:f>RANK(I107,$I$5:$I$130,0)</x:f>
        <x:v>98</x:v>
      </x:c>
      <x:c r="B107" s="29" t="str">
        <x:v>マジカル・パンチライン</x:v>
      </x:c>
      <x:c r="C107" s="32" t="n">
        <x:v>9</x:v>
      </x:c>
      <x:c r="D107" s="32" t="n">
        <x:v>8</x:v>
      </x:c>
      <x:c r="E107" s="32" t="n">
        <x:v>8</x:v>
      </x:c>
      <x:c r="F107" s="32" t="n">
        <x:v>7</x:v>
      </x:c>
      <x:c r="G107" s="32" t="n">
        <x:v>3</x:v>
      </x:c>
      <x:c r="H107" s="32" t="n">
        <x:v>5</x:v>
      </x:c>
      <x:c r="I107" s="32" t="n">
        <x:f>SUM(C107:H107)</x:f>
        <x:v>40</x:v>
      </x:c>
      <x:c r="J107" s="32" t="str">
        <x:f>IF(I107&gt;=90,"S+",IF(I107&gt;=80,"S",IF(I107&gt;=70,"A+",IF(I107&gt;=60,"A",IF(I107&gt;=50,"B+",IF(I107&gt;=40,"B",IF(I107&gt;=30,"C+",IF(I107&gt;=20,"C",IF(I107&gt;=10,"D+","D")))))))))</x:f>
        <x:v>B</x:v>
      </x:c>
      <x:c r="K107" s="32" t="str">
        <x:v>중간</x:v>
      </x:c>
      <x:c r="L107" s="40" t="str">
        <x:v>확장 전수조사군: 공개 공연·라인업·SNS·업계 활동을 기준으로 상대평가</x:v>
      </x:c>
    </x:row>
    <x:row r="108">
      <x:c r="A108" s="39" t="n">
        <x:f>RANK(I108,$I$5:$I$130,0)</x:f>
        <x:v>104</x:v>
      </x:c>
      <x:c r="B108" s="29" t="str">
        <x:v>Ma'Scar'Piece</x:v>
      </x:c>
      <x:c r="C108" s="32" t="n">
        <x:v>9</x:v>
      </x:c>
      <x:c r="D108" s="32" t="n">
        <x:v>7</x:v>
      </x:c>
      <x:c r="E108" s="32" t="n">
        <x:v>6</x:v>
      </x:c>
      <x:c r="F108" s="32" t="n">
        <x:v>7</x:v>
      </x:c>
      <x:c r="G108" s="32" t="n">
        <x:v>6</x:v>
      </x:c>
      <x:c r="H108" s="32" t="n">
        <x:v>4</x:v>
      </x:c>
      <x:c r="I108" s="32" t="n">
        <x:f>SUM(C108:H108)</x:f>
        <x:v>39</x:v>
      </x:c>
      <x:c r="J108" s="32" t="str">
        <x:f>IF(I108&gt;=90,"S+",IF(I108&gt;=80,"S",IF(I108&gt;=70,"A+",IF(I108&gt;=60,"A",IF(I108&gt;=50,"B+",IF(I108&gt;=40,"B",IF(I108&gt;=30,"C+",IF(I108&gt;=20,"C",IF(I108&gt;=10,"D+","D")))))))))</x:f>
        <x:v>C+</x:v>
      </x:c>
      <x:c r="K108" s="32" t="str">
        <x:v>중간</x:v>
      </x:c>
      <x:c r="L108" s="40" t="str">
        <x:v>확장 전수조사군: 공개 공연·라인업·SNS·업계 활동을 기준으로 상대평가</x:v>
      </x:c>
    </x:row>
    <x:row r="109">
      <x:c r="A109" s="39" t="n">
        <x:f>RANK(I109,$I$5:$I$130,0)</x:f>
        <x:v>104</x:v>
      </x:c>
      <x:c r="B109" s="29" t="str">
        <x:v>PIGGS</x:v>
      </x:c>
      <x:c r="C109" s="32" t="n">
        <x:v>10</x:v>
      </x:c>
      <x:c r="D109" s="32" t="n">
        <x:v>8</x:v>
      </x:c>
      <x:c r="E109" s="32" t="n">
        <x:v>7</x:v>
      </x:c>
      <x:c r="F109" s="32" t="n">
        <x:v>6</x:v>
      </x:c>
      <x:c r="G109" s="32" t="n">
        <x:v>4</x:v>
      </x:c>
      <x:c r="H109" s="32" t="n">
        <x:v>4</x:v>
      </x:c>
      <x:c r="I109" s="32" t="n">
        <x:f>SUM(C109:H109)</x:f>
        <x:v>39</x:v>
      </x:c>
      <x:c r="J109" s="32" t="str">
        <x:f>IF(I109&gt;=90,"S+",IF(I109&gt;=80,"S",IF(I109&gt;=70,"A+",IF(I109&gt;=60,"A",IF(I109&gt;=50,"B+",IF(I109&gt;=40,"B",IF(I109&gt;=30,"C+",IF(I109&gt;=20,"C",IF(I109&gt;=10,"D+","D")))))))))</x:f>
        <x:v>C+</x:v>
      </x:c>
      <x:c r="K109" s="32" t="str">
        <x:v>중간</x:v>
      </x:c>
      <x:c r="L109" s="40" t="str">
        <x:v>확장 전수조사군: 공개 공연·라인업·SNS·업계 활동을 기준으로 상대평가</x:v>
      </x:c>
    </x:row>
    <x:row r="110">
      <x:c r="A110" s="39" t="n">
        <x:f>RANK(I110,$I$5:$I$130,0)</x:f>
        <x:v>104</x:v>
      </x:c>
      <x:c r="B110" s="29" t="str">
        <x:v>Sweet Alley</x:v>
      </x:c>
      <x:c r="C110" s="32" t="n">
        <x:v>9</x:v>
      </x:c>
      <x:c r="D110" s="32" t="n">
        <x:v>8</x:v>
      </x:c>
      <x:c r="E110" s="32" t="n">
        <x:v>6</x:v>
      </x:c>
      <x:c r="F110" s="32" t="n">
        <x:v>7</x:v>
      </x:c>
      <x:c r="G110" s="32" t="n">
        <x:v>4</x:v>
      </x:c>
      <x:c r="H110" s="32" t="n">
        <x:v>5</x:v>
      </x:c>
      <x:c r="I110" s="32" t="n">
        <x:f>SUM(C110:H110)</x:f>
        <x:v>39</x:v>
      </x:c>
      <x:c r="J110" s="32" t="str">
        <x:f>IF(I110&gt;=90,"S+",IF(I110&gt;=80,"S",IF(I110&gt;=70,"A+",IF(I110&gt;=60,"A",IF(I110&gt;=50,"B+",IF(I110&gt;=40,"B",IF(I110&gt;=30,"C+",IF(I110&gt;=20,"C",IF(I110&gt;=10,"D+","D")))))))))</x:f>
        <x:v>C+</x:v>
      </x:c>
      <x:c r="K110" s="32" t="str">
        <x:v>중상</x:v>
      </x:c>
      <x:c r="L110" s="40" t="str">
        <x:v>라이브/중소권: 공연장·이벤트·SNS·인지도 자료를 교차 반영</x:v>
      </x:c>
    </x:row>
    <x:row r="111">
      <x:c r="A111" s="39" t="n">
        <x:f>RANK(I111,$I$5:$I$130,0)</x:f>
        <x:v>104</x:v>
      </x:c>
      <x:c r="B111" s="29" t="str">
        <x:v>fishbowl</x:v>
      </x:c>
      <x:c r="C111" s="32" t="n">
        <x:v>9</x:v>
      </x:c>
      <x:c r="D111" s="32" t="n">
        <x:v>8</x:v>
      </x:c>
      <x:c r="E111" s="32" t="n">
        <x:v>7</x:v>
      </x:c>
      <x:c r="F111" s="32" t="n">
        <x:v>6</x:v>
      </x:c>
      <x:c r="G111" s="32" t="n">
        <x:v>4</x:v>
      </x:c>
      <x:c r="H111" s="32" t="n">
        <x:v>5</x:v>
      </x:c>
      <x:c r="I111" s="32" t="n">
        <x:f>SUM(C111:H111)</x:f>
        <x:v>39</x:v>
      </x:c>
      <x:c r="J111" s="32" t="str">
        <x:f>IF(I111&gt;=90,"S+",IF(I111&gt;=80,"S",IF(I111&gt;=70,"A+",IF(I111&gt;=60,"A",IF(I111&gt;=50,"B+",IF(I111&gt;=40,"B",IF(I111&gt;=30,"C+",IF(I111&gt;=20,"C",IF(I111&gt;=10,"D+","D")))))))))</x:f>
        <x:v>C+</x:v>
      </x:c>
      <x:c r="K111" s="32" t="str">
        <x:v>중상</x:v>
      </x:c>
      <x:c r="L111" s="40" t="str">
        <x:v>라이브/중소권: 공연장·이벤트·SNS·인지도 자료를 교차 반영</x:v>
      </x:c>
    </x:row>
    <x:row r="112">
      <x:c r="A112" s="39" t="n">
        <x:f>RANK(I112,$I$5:$I$130,0)</x:f>
        <x:v>104</x:v>
      </x:c>
      <x:c r="B112" s="29" t="str">
        <x:v>アップアップガールズ（2）</x:v>
      </x:c>
      <x:c r="C112" s="32" t="n">
        <x:v>10</x:v>
      </x:c>
      <x:c r="D112" s="32" t="n">
        <x:v>8</x:v>
      </x:c>
      <x:c r="E112" s="32" t="n">
        <x:v>7</x:v>
      </x:c>
      <x:c r="F112" s="32" t="n">
        <x:v>5</x:v>
      </x:c>
      <x:c r="G112" s="32" t="n">
        <x:v>4</x:v>
      </x:c>
      <x:c r="H112" s="32" t="n">
        <x:v>5</x:v>
      </x:c>
      <x:c r="I112" s="32" t="n">
        <x:f>SUM(C112:H112)</x:f>
        <x:v>39</x:v>
      </x:c>
      <x:c r="J112" s="32" t="str">
        <x:f>IF(I112&gt;=90,"S+",IF(I112&gt;=80,"S",IF(I112&gt;=70,"A+",IF(I112&gt;=60,"A",IF(I112&gt;=50,"B+",IF(I112&gt;=40,"B",IF(I112&gt;=30,"C+",IF(I112&gt;=20,"C",IF(I112&gt;=10,"D+","D")))))))))</x:f>
        <x:v>C+</x:v>
      </x:c>
      <x:c r="K112" s="32" t="str">
        <x:v>중간</x:v>
      </x:c>
      <x:c r="L112" s="40" t="str">
        <x:v>확장 전수조사군: 공개 공연·라인업·SNS·업계 활동을 기준으로 상대평가</x:v>
      </x:c>
    </x:row>
    <x:row r="113">
      <x:c r="A113" s="39" t="n">
        <x:f>RANK(I113,$I$5:$I$130,0)</x:f>
        <x:v>104</x:v>
      </x:c>
      <x:c r="B113" s="29" t="str">
        <x:v>キングサリ</x:v>
      </x:c>
      <x:c r="C113" s="32" t="n">
        <x:v>11</x:v>
      </x:c>
      <x:c r="D113" s="32" t="n">
        <x:v>8</x:v>
      </x:c>
      <x:c r="E113" s="32" t="n">
        <x:v>5</x:v>
      </x:c>
      <x:c r="F113" s="32" t="n">
        <x:v>6</x:v>
      </x:c>
      <x:c r="G113" s="32" t="n">
        <x:v>5</x:v>
      </x:c>
      <x:c r="H113" s="32" t="n">
        <x:v>4</x:v>
      </x:c>
      <x:c r="I113" s="32" t="n">
        <x:f>SUM(C113:H113)</x:f>
        <x:v>39</x:v>
      </x:c>
      <x:c r="J113" s="32" t="str">
        <x:f>IF(I113&gt;=90,"S+",IF(I113&gt;=80,"S",IF(I113&gt;=70,"A+",IF(I113&gt;=60,"A",IF(I113&gt;=50,"B+",IF(I113&gt;=40,"B",IF(I113&gt;=30,"C+",IF(I113&gt;=20,"C",IF(I113&gt;=10,"D+","D")))))))))</x:f>
        <x:v>C+</x:v>
      </x:c>
      <x:c r="K113" s="32" t="str">
        <x:v>중간</x:v>
      </x:c>
      <x:c r="L113" s="40" t="str">
        <x:v>확장 전수조사군: 공개 공연·라인업·SNS·업계 활동을 기준으로 상대평가</x:v>
      </x:c>
    </x:row>
    <x:row r="114">
      <x:c r="A114" s="39" t="n">
        <x:f>RANK(I114,$I$5:$I$130,0)</x:f>
        <x:v>104</x:v>
      </x:c>
      <x:c r="B114" s="29" t="str">
        <x:v>ハルニシオン</x:v>
      </x:c>
      <x:c r="C114" s="32" t="n">
        <x:v>10</x:v>
      </x:c>
      <x:c r="D114" s="32" t="n">
        <x:v>8</x:v>
      </x:c>
      <x:c r="E114" s="32" t="n">
        <x:v>5</x:v>
      </x:c>
      <x:c r="F114" s="32" t="n">
        <x:v>6</x:v>
      </x:c>
      <x:c r="G114" s="32" t="n">
        <x:v>6</x:v>
      </x:c>
      <x:c r="H114" s="32" t="n">
        <x:v>4</x:v>
      </x:c>
      <x:c r="I114" s="32" t="n">
        <x:f>SUM(C114:H114)</x:f>
        <x:v>39</x:v>
      </x:c>
      <x:c r="J114" s="32" t="str">
        <x:f>IF(I114&gt;=90,"S+",IF(I114&gt;=80,"S",IF(I114&gt;=70,"A+",IF(I114&gt;=60,"A",IF(I114&gt;=50,"B+",IF(I114&gt;=40,"B",IF(I114&gt;=30,"C+",IF(I114&gt;=20,"C",IF(I114&gt;=10,"D+","D")))))))))</x:f>
        <x:v>C+</x:v>
      </x:c>
      <x:c r="K114" s="32" t="str">
        <x:v>중간</x:v>
      </x:c>
      <x:c r="L114" s="40" t="str">
        <x:v>확장 전수조사군: 공개 공연·라인업·SNS·업계 활동을 기준으로 상대평가</x:v>
      </x:c>
    </x:row>
    <x:row r="115">
      <x:c r="A115" s="39" t="n">
        <x:f>RANK(I115,$I$5:$I$130,0)</x:f>
        <x:v>104</x:v>
      </x:c>
      <x:c r="B115" s="29" t="str">
        <x:v>君に、胸キュン。</x:v>
      </x:c>
      <x:c r="C115" s="32" t="n">
        <x:v>9</x:v>
      </x:c>
      <x:c r="D115" s="32" t="n">
        <x:v>8</x:v>
      </x:c>
      <x:c r="E115" s="32" t="n">
        <x:v>7</x:v>
      </x:c>
      <x:c r="F115" s="32" t="n">
        <x:v>6</x:v>
      </x:c>
      <x:c r="G115" s="32" t="n">
        <x:v>5</x:v>
      </x:c>
      <x:c r="H115" s="32" t="n">
        <x:v>4</x:v>
      </x:c>
      <x:c r="I115" s="32" t="n">
        <x:f>SUM(C115:H115)</x:f>
        <x:v>39</x:v>
      </x:c>
      <x:c r="J115" s="32" t="str">
        <x:f>IF(I115&gt;=90,"S+",IF(I115&gt;=80,"S",IF(I115&gt;=70,"A+",IF(I115&gt;=60,"A",IF(I115&gt;=50,"B+",IF(I115&gt;=40,"B",IF(I115&gt;=30,"C+",IF(I115&gt;=20,"C",IF(I115&gt;=10,"D+","D")))))))))</x:f>
        <x:v>C+</x:v>
      </x:c>
      <x:c r="K115" s="32" t="str">
        <x:v>중간</x:v>
      </x:c>
      <x:c r="L115" s="40" t="str">
        <x:v>확장 전수조사군: 공개 공연·라인업·SNS·업계 활동을 기준으로 상대평가</x:v>
      </x:c>
    </x:row>
    <x:row r="116">
      <x:c r="A116" s="39" t="n">
        <x:f>RANK(I116,$I$5:$I$130,0)</x:f>
        <x:v>112</x:v>
      </x:c>
      <x:c r="B116" s="29" t="str">
        <x:v>KRD8</x:v>
      </x:c>
      <x:c r="C116" s="32" t="n">
        <x:v>9</x:v>
      </x:c>
      <x:c r="D116" s="32" t="n">
        <x:v>8</x:v>
      </x:c>
      <x:c r="E116" s="32" t="n">
        <x:v>7</x:v>
      </x:c>
      <x:c r="F116" s="32" t="n">
        <x:v>5</x:v>
      </x:c>
      <x:c r="G116" s="32" t="n">
        <x:v>4</x:v>
      </x:c>
      <x:c r="H116" s="32" t="n">
        <x:v>5</x:v>
      </x:c>
      <x:c r="I116" s="32" t="n">
        <x:f>SUM(C116:H116)</x:f>
        <x:v>38</x:v>
      </x:c>
      <x:c r="J116" s="32" t="str">
        <x:f>IF(I116&gt;=90,"S+",IF(I116&gt;=80,"S",IF(I116&gt;=70,"A+",IF(I116&gt;=60,"A",IF(I116&gt;=50,"B+",IF(I116&gt;=40,"B",IF(I116&gt;=30,"C+",IF(I116&gt;=20,"C",IF(I116&gt;=10,"D+","D")))))))))</x:f>
        <x:v>C+</x:v>
      </x:c>
      <x:c r="K116" s="32" t="str">
        <x:v>중간</x:v>
      </x:c>
      <x:c r="L116" s="40" t="str">
        <x:v>확장 전수조사군: 공개 공연·라인업·SNS·업계 활동을 기준으로 상대평가</x:v>
      </x:c>
    </x:row>
    <x:row r="117">
      <x:c r="A117" s="39" t="n">
        <x:f>RANK(I117,$I$5:$I$130,0)</x:f>
        <x:v>112</x:v>
      </x:c>
      <x:c r="B117" s="29" t="str">
        <x:v>NUANCE</x:v>
      </x:c>
      <x:c r="C117" s="32" t="n">
        <x:v>9</x:v>
      </x:c>
      <x:c r="D117" s="32" t="n">
        <x:v>8</x:v>
      </x:c>
      <x:c r="E117" s="32" t="n">
        <x:v>6</x:v>
      </x:c>
      <x:c r="F117" s="32" t="n">
        <x:v>5</x:v>
      </x:c>
      <x:c r="G117" s="32" t="n">
        <x:v>5</x:v>
      </x:c>
      <x:c r="H117" s="32" t="n">
        <x:v>5</x:v>
      </x:c>
      <x:c r="I117" s="32" t="n">
        <x:f>SUM(C117:H117)</x:f>
        <x:v>38</x:v>
      </x:c>
      <x:c r="J117" s="32" t="str">
        <x:f>IF(I117&gt;=90,"S+",IF(I117&gt;=80,"S",IF(I117&gt;=70,"A+",IF(I117&gt;=60,"A",IF(I117&gt;=50,"B+",IF(I117&gt;=40,"B",IF(I117&gt;=30,"C+",IF(I117&gt;=20,"C",IF(I117&gt;=10,"D+","D")))))))))</x:f>
        <x:v>C+</x:v>
      </x:c>
      <x:c r="K117" s="32" t="str">
        <x:v>중간</x:v>
      </x:c>
      <x:c r="L117" s="40" t="str">
        <x:v>확장 전수조사군: 공개 공연·라인업·SNS·업계 활동을 기준으로 상대평가</x:v>
      </x:c>
    </x:row>
    <x:row r="118">
      <x:c r="A118" s="39" t="n">
        <x:f>RANK(I118,$I$5:$I$130,0)</x:f>
        <x:v>112</x:v>
      </x:c>
      <x:c r="B118" s="29" t="str">
        <x:v>さよならステイチューン</x:v>
      </x:c>
      <x:c r="C118" s="32" t="n">
        <x:v>9</x:v>
      </x:c>
      <x:c r="D118" s="32" t="n">
        <x:v>7</x:v>
      </x:c>
      <x:c r="E118" s="32" t="n">
        <x:v>6</x:v>
      </x:c>
      <x:c r="F118" s="32" t="n">
        <x:v>7</x:v>
      </x:c>
      <x:c r="G118" s="32" t="n">
        <x:v>5</x:v>
      </x:c>
      <x:c r="H118" s="32" t="n">
        <x:v>4</x:v>
      </x:c>
      <x:c r="I118" s="32" t="n">
        <x:f>SUM(C118:H118)</x:f>
        <x:v>38</x:v>
      </x:c>
      <x:c r="J118" s="32" t="str">
        <x:f>IF(I118&gt;=90,"S+",IF(I118&gt;=80,"S",IF(I118&gt;=70,"A+",IF(I118&gt;=60,"A",IF(I118&gt;=50,"B+",IF(I118&gt;=40,"B",IF(I118&gt;=30,"C+",IF(I118&gt;=20,"C",IF(I118&gt;=10,"D+","D")))))))))</x:f>
        <x:v>C+</x:v>
      </x:c>
      <x:c r="K118" s="32" t="str">
        <x:v>중간</x:v>
      </x:c>
      <x:c r="L118" s="40" t="str">
        <x:v>확장 전수조사군: 공개 공연·라인업·SNS·업계 활동을 기준으로 상대평가</x:v>
      </x:c>
    </x:row>
    <x:row r="119">
      <x:c r="A119" s="39" t="n">
        <x:f>RANK(I119,$I$5:$I$130,0)</x:f>
        <x:v>112</x:v>
      </x:c>
      <x:c r="B119" s="29" t="str">
        <x:v>透色ドロップ</x:v>
      </x:c>
      <x:c r="C119" s="32" t="n">
        <x:v>10</x:v>
      </x:c>
      <x:c r="D119" s="32" t="n">
        <x:v>8</x:v>
      </x:c>
      <x:c r="E119" s="32" t="n">
        <x:v>6</x:v>
      </x:c>
      <x:c r="F119" s="32" t="n">
        <x:v>5</x:v>
      </x:c>
      <x:c r="G119" s="32" t="n">
        <x:v>4</x:v>
      </x:c>
      <x:c r="H119" s="32" t="n">
        <x:v>5</x:v>
      </x:c>
      <x:c r="I119" s="32" t="n">
        <x:f>SUM(C119:H119)</x:f>
        <x:v>38</x:v>
      </x:c>
      <x:c r="J119" s="32" t="str">
        <x:f>IF(I119&gt;=90,"S+",IF(I119&gt;=80,"S",IF(I119&gt;=70,"A+",IF(I119&gt;=60,"A",IF(I119&gt;=50,"B+",IF(I119&gt;=40,"B",IF(I119&gt;=30,"C+",IF(I119&gt;=20,"C",IF(I119&gt;=10,"D+","D")))))))))</x:f>
        <x:v>C+</x:v>
      </x:c>
      <x:c r="K119" s="32" t="str">
        <x:v>중상</x:v>
      </x:c>
      <x:c r="L119" s="40" t="str">
        <x:v>라이브/중소권: 공연장·이벤트·SNS·인지도 자료를 교차 반영</x:v>
      </x:c>
    </x:row>
    <x:row r="120">
      <x:c r="A120" s="39" t="n">
        <x:f>RANK(I120,$I$5:$I$130,0)</x:f>
        <x:v>116</x:v>
      </x:c>
      <x:c r="B120" s="29" t="str">
        <x:v>Gran☆Ciel</x:v>
      </x:c>
      <x:c r="C120" s="32" t="n">
        <x:v>9</x:v>
      </x:c>
      <x:c r="D120" s="32" t="n">
        <x:v>8</x:v>
      </x:c>
      <x:c r="E120" s="32" t="n">
        <x:v>6</x:v>
      </x:c>
      <x:c r="F120" s="32" t="n">
        <x:v>5</x:v>
      </x:c>
      <x:c r="G120" s="32" t="n">
        <x:v>4</x:v>
      </x:c>
      <x:c r="H120" s="32" t="n">
        <x:v>5</x:v>
      </x:c>
      <x:c r="I120" s="32" t="n">
        <x:f>SUM(C120:H120)</x:f>
        <x:v>37</x:v>
      </x:c>
      <x:c r="J120" s="32" t="str">
        <x:f>IF(I120&gt;=90,"S+",IF(I120&gt;=80,"S",IF(I120&gt;=70,"A+",IF(I120&gt;=60,"A",IF(I120&gt;=50,"B+",IF(I120&gt;=40,"B",IF(I120&gt;=30,"C+",IF(I120&gt;=20,"C",IF(I120&gt;=10,"D+","D")))))))))</x:f>
        <x:v>C+</x:v>
      </x:c>
      <x:c r="K120" s="32" t="str">
        <x:v>중간</x:v>
      </x:c>
      <x:c r="L120" s="40" t="str">
        <x:v>확장 전수조사군: 공개 공연·라인업·SNS·업계 활동을 기준으로 상대평가</x:v>
      </x:c>
    </x:row>
    <x:row r="121">
      <x:c r="A121" s="39" t="n">
        <x:f>RANK(I121,$I$5:$I$130,0)</x:f>
        <x:v>116</x:v>
      </x:c>
      <x:c r="B121" s="29" t="str">
        <x:v>かすみ草とステラ</x:v>
      </x:c>
      <x:c r="C121" s="32" t="n">
        <x:v>10</x:v>
      </x:c>
      <x:c r="D121" s="32" t="n">
        <x:v>8</x:v>
      </x:c>
      <x:c r="E121" s="32" t="n">
        <x:v>6</x:v>
      </x:c>
      <x:c r="F121" s="32" t="n">
        <x:v>5</x:v>
      </x:c>
      <x:c r="G121" s="32" t="n">
        <x:v>4</x:v>
      </x:c>
      <x:c r="H121" s="32" t="n">
        <x:v>4</x:v>
      </x:c>
      <x:c r="I121" s="32" t="n">
        <x:f>SUM(C121:H121)</x:f>
        <x:v>37</x:v>
      </x:c>
      <x:c r="J121" s="32" t="str">
        <x:f>IF(I121&gt;=90,"S+",IF(I121&gt;=80,"S",IF(I121&gt;=70,"A+",IF(I121&gt;=60,"A",IF(I121&gt;=50,"B+",IF(I121&gt;=40,"B",IF(I121&gt;=30,"C+",IF(I121&gt;=20,"C",IF(I121&gt;=10,"D+","D")))))))))</x:f>
        <x:v>C+</x:v>
      </x:c>
      <x:c r="K121" s="32" t="str">
        <x:v>중상</x:v>
      </x:c>
      <x:c r="L121" s="40" t="str">
        <x:v>라이브/중소권: 공연장·이벤트·SNS·인지도 자료를 교차 반영</x:v>
      </x:c>
    </x:row>
    <x:row r="122">
      <x:c r="A122" s="39" t="n">
        <x:f>RANK(I122,$I$5:$I$130,0)</x:f>
        <x:v>116</x:v>
      </x:c>
      <x:c r="B122" s="29" t="str">
        <x:v>すーぱーぷーばぁー!!</x:v>
      </x:c>
      <x:c r="C122" s="32" t="n">
        <x:v>9</x:v>
      </x:c>
      <x:c r="D122" s="32" t="n">
        <x:v>7</x:v>
      </x:c>
      <x:c r="E122" s="32" t="n">
        <x:v>5</x:v>
      </x:c>
      <x:c r="F122" s="32" t="n">
        <x:v>6</x:v>
      </x:c>
      <x:c r="G122" s="32" t="n">
        <x:v>6</x:v>
      </x:c>
      <x:c r="H122" s="32" t="n">
        <x:v>4</x:v>
      </x:c>
      <x:c r="I122" s="32" t="n">
        <x:f>SUM(C122:H122)</x:f>
        <x:v>37</x:v>
      </x:c>
      <x:c r="J122" s="32" t="str">
        <x:f>IF(I122&gt;=90,"S+",IF(I122&gt;=80,"S",IF(I122&gt;=70,"A+",IF(I122&gt;=60,"A",IF(I122&gt;=50,"B+",IF(I122&gt;=40,"B",IF(I122&gt;=30,"C+",IF(I122&gt;=20,"C",IF(I122&gt;=10,"D+","D")))))))))</x:f>
        <x:v>C+</x:v>
      </x:c>
      <x:c r="K122" s="32" t="str">
        <x:v>중간</x:v>
      </x:c>
      <x:c r="L122" s="40" t="str">
        <x:v>확장 전수조사군: 공개 공연·라인업·SNS·업계 활동을 기준으로 상대평가</x:v>
      </x:c>
    </x:row>
    <x:row r="123">
      <x:c r="A123" s="39" t="n">
        <x:f>RANK(I123,$I$5:$I$130,0)</x:f>
        <x:v>116</x:v>
      </x:c>
      <x:c r="B123" s="29" t="str">
        <x:v>点染テンセイ少女。</x:v>
      </x:c>
      <x:c r="C123" s="32" t="n">
        <x:v>9</x:v>
      </x:c>
      <x:c r="D123" s="32" t="n">
        <x:v>7</x:v>
      </x:c>
      <x:c r="E123" s="32" t="n">
        <x:v>5</x:v>
      </x:c>
      <x:c r="F123" s="32" t="n">
        <x:v>6</x:v>
      </x:c>
      <x:c r="G123" s="32" t="n">
        <x:v>6</x:v>
      </x:c>
      <x:c r="H123" s="32" t="n">
        <x:v>4</x:v>
      </x:c>
      <x:c r="I123" s="32" t="n">
        <x:f>SUM(C123:H123)</x:f>
        <x:v>37</x:v>
      </x:c>
      <x:c r="J123" s="32" t="str">
        <x:f>IF(I123&gt;=90,"S+",IF(I123&gt;=80,"S",IF(I123&gt;=70,"A+",IF(I123&gt;=60,"A",IF(I123&gt;=50,"B+",IF(I123&gt;=40,"B",IF(I123&gt;=30,"C+",IF(I123&gt;=20,"C",IF(I123&gt;=10,"D+","D")))))))))</x:f>
        <x:v>C+</x:v>
      </x:c>
      <x:c r="K123" s="32" t="str">
        <x:v>중간</x:v>
      </x:c>
      <x:c r="L123" s="40" t="str">
        <x:v>확장 전수조사군: 공개 공연·라인업·SNS·업계 활동을 기준으로 상대평가</x:v>
      </x:c>
    </x:row>
    <x:row r="124">
      <x:c r="A124" s="39" t="n">
        <x:f>RANK(I124,$I$5:$I$130,0)</x:f>
        <x:v>120</x:v>
      </x:c>
      <x:c r="B124" s="29" t="str">
        <x:v>DREAMING MONSTER</x:v>
      </x:c>
      <x:c r="C124" s="32" t="n">
        <x:v>9</x:v>
      </x:c>
      <x:c r="D124" s="32" t="n">
        <x:v>8</x:v>
      </x:c>
      <x:c r="E124" s="32" t="n">
        <x:v>6</x:v>
      </x:c>
      <x:c r="F124" s="32" t="n">
        <x:v>5</x:v>
      </x:c>
      <x:c r="G124" s="32" t="n">
        <x:v>4</x:v>
      </x:c>
      <x:c r="H124" s="32" t="n">
        <x:v>4</x:v>
      </x:c>
      <x:c r="I124" s="32" t="n">
        <x:f>SUM(C124:H124)</x:f>
        <x:v>36</x:v>
      </x:c>
      <x:c r="J124" s="32" t="str">
        <x:f>IF(I124&gt;=90,"S+",IF(I124&gt;=80,"S",IF(I124&gt;=70,"A+",IF(I124&gt;=60,"A",IF(I124&gt;=50,"B+",IF(I124&gt;=40,"B",IF(I124&gt;=30,"C+",IF(I124&gt;=20,"C",IF(I124&gt;=10,"D+","D")))))))))</x:f>
        <x:v>C+</x:v>
      </x:c>
      <x:c r="K124" s="32" t="str">
        <x:v>중간</x:v>
      </x:c>
      <x:c r="L124" s="40" t="str">
        <x:v>확장 전수조사군: 공개 공연·라인업·SNS·업계 활동을 기준으로 상대평가</x:v>
      </x:c>
    </x:row>
    <x:row r="125">
      <x:c r="A125" s="39" t="n">
        <x:f>RANK(I125,$I$5:$I$130,0)</x:f>
        <x:v>121</x:v>
      </x:c>
      <x:c r="B125" s="29" t="str">
        <x:v>Kolokol</x:v>
      </x:c>
      <x:c r="C125" s="32" t="n">
        <x:v>9</x:v>
      </x:c>
      <x:c r="D125" s="32" t="n">
        <x:v>8</x:v>
      </x:c>
      <x:c r="E125" s="32" t="n">
        <x:v>5</x:v>
      </x:c>
      <x:c r="F125" s="32" t="n">
        <x:v>5</x:v>
      </x:c>
      <x:c r="G125" s="32" t="n">
        <x:v>4</x:v>
      </x:c>
      <x:c r="H125" s="32" t="n">
        <x:v>4</x:v>
      </x:c>
      <x:c r="I125" s="32" t="n">
        <x:f>SUM(C125:H125)</x:f>
        <x:v>35</x:v>
      </x:c>
      <x:c r="J125" s="32" t="str">
        <x:f>IF(I125&gt;=90,"S+",IF(I125&gt;=80,"S",IF(I125&gt;=70,"A+",IF(I125&gt;=60,"A",IF(I125&gt;=50,"B+",IF(I125&gt;=40,"B",IF(I125&gt;=30,"C+",IF(I125&gt;=20,"C",IF(I125&gt;=10,"D+","D")))))))))</x:f>
        <x:v>C+</x:v>
      </x:c>
      <x:c r="K125" s="32" t="str">
        <x:v>중상</x:v>
      </x:c>
      <x:c r="L125" s="40" t="str">
        <x:v>라이브/중소권: 공연장·이벤트·SNS·인지도 자료를 교차 반영</x:v>
      </x:c>
    </x:row>
    <x:row r="126">
      <x:c r="A126" s="39" t="n">
        <x:f>RANK(I126,$I$5:$I$130,0)</x:f>
        <x:v>121</x:v>
      </x:c>
      <x:c r="B126" s="29" t="str">
        <x:v>PinkySpice</x:v>
      </x:c>
      <x:c r="C126" s="32" t="n">
        <x:v>9</x:v>
      </x:c>
      <x:c r="D126" s="32" t="n">
        <x:v>7</x:v>
      </x:c>
      <x:c r="E126" s="32" t="n">
        <x:v>6</x:v>
      </x:c>
      <x:c r="F126" s="32" t="n">
        <x:v>5</x:v>
      </x:c>
      <x:c r="G126" s="32" t="n">
        <x:v>4</x:v>
      </x:c>
      <x:c r="H126" s="32" t="n">
        <x:v>4</x:v>
      </x:c>
      <x:c r="I126" s="32" t="n">
        <x:f>SUM(C126:H126)</x:f>
        <x:v>35</x:v>
      </x:c>
      <x:c r="J126" s="32" t="str">
        <x:f>IF(I126&gt;=90,"S+",IF(I126&gt;=80,"S",IF(I126&gt;=70,"A+",IF(I126&gt;=60,"A",IF(I126&gt;=50,"B+",IF(I126&gt;=40,"B",IF(I126&gt;=30,"C+",IF(I126&gt;=20,"C",IF(I126&gt;=10,"D+","D")))))))))</x:f>
        <x:v>C+</x:v>
      </x:c>
      <x:c r="K126" s="32" t="str">
        <x:v>중간</x:v>
      </x:c>
      <x:c r="L126" s="40" t="str">
        <x:v>확장 전수조사군: 공개 공연·라인업·SNS·업계 활동을 기준으로 상대평가</x:v>
      </x:c>
    </x:row>
    <x:row r="127">
      <x:c r="A127" s="39" t="n">
        <x:f>RANK(I127,$I$5:$I$130,0)</x:f>
        <x:v>121</x:v>
      </x:c>
      <x:c r="B127" s="29" t="str">
        <x:v>Ringwanderung</x:v>
      </x:c>
      <x:c r="C127" s="32" t="n">
        <x:v>9</x:v>
      </x:c>
      <x:c r="D127" s="32" t="n">
        <x:v>8</x:v>
      </x:c>
      <x:c r="E127" s="32" t="n">
        <x:v>6</x:v>
      </x:c>
      <x:c r="F127" s="32" t="n">
        <x:v>5</x:v>
      </x:c>
      <x:c r="G127" s="32" t="n">
        <x:v>3</x:v>
      </x:c>
      <x:c r="H127" s="32" t="n">
        <x:v>4</x:v>
      </x:c>
      <x:c r="I127" s="32" t="n">
        <x:f>SUM(C127:H127)</x:f>
        <x:v>35</x:v>
      </x:c>
      <x:c r="J127" s="32" t="str">
        <x:f>IF(I127&gt;=90,"S+",IF(I127&gt;=80,"S",IF(I127&gt;=70,"A+",IF(I127&gt;=60,"A",IF(I127&gt;=50,"B+",IF(I127&gt;=40,"B",IF(I127&gt;=30,"C+",IF(I127&gt;=20,"C",IF(I127&gt;=10,"D+","D")))))))))</x:f>
        <x:v>C+</x:v>
      </x:c>
      <x:c r="K127" s="32" t="str">
        <x:v>중상</x:v>
      </x:c>
      <x:c r="L127" s="40" t="str">
        <x:v>라이브/중소권: 공연장·이벤트·SNS·인지도 자료를 교차 반영</x:v>
      </x:c>
    </x:row>
    <x:row r="128">
      <x:c r="A128" s="39" t="n">
        <x:f>RANK(I128,$I$5:$I$130,0)</x:f>
        <x:v>121</x:v>
      </x:c>
      <x:c r="B128" s="29" t="str">
        <x:v>ルルネージュ</x:v>
      </x:c>
      <x:c r="C128" s="32" t="n">
        <x:v>9</x:v>
      </x:c>
      <x:c r="D128" s="32" t="n">
        <x:v>7</x:v>
      </x:c>
      <x:c r="E128" s="32" t="n">
        <x:v>5</x:v>
      </x:c>
      <x:c r="F128" s="32" t="n">
        <x:v>6</x:v>
      </x:c>
      <x:c r="G128" s="32" t="n">
        <x:v>4</x:v>
      </x:c>
      <x:c r="H128" s="32" t="n">
        <x:v>4</x:v>
      </x:c>
      <x:c r="I128" s="32" t="n">
        <x:f>SUM(C128:H128)</x:f>
        <x:v>35</x:v>
      </x:c>
      <x:c r="J128" s="32" t="str">
        <x:f>IF(I128&gt;=90,"S+",IF(I128&gt;=80,"S",IF(I128&gt;=70,"A+",IF(I128&gt;=60,"A",IF(I128&gt;=50,"B+",IF(I128&gt;=40,"B",IF(I128&gt;=30,"C+",IF(I128&gt;=20,"C",IF(I128&gt;=10,"D+","D")))))))))</x:f>
        <x:v>C+</x:v>
      </x:c>
      <x:c r="K128" s="32" t="str">
        <x:v>중간</x:v>
      </x:c>
      <x:c r="L128" s="40" t="str">
        <x:v>확장 전수조사군: 공개 공연·라인업·SNS·업계 활동을 기준으로 상대평가</x:v>
      </x:c>
    </x:row>
    <x:row r="129">
      <x:c r="A129" s="39" t="n">
        <x:f>RANK(I129,$I$5:$I$130,0)</x:f>
        <x:v>125</x:v>
      </x:c>
      <x:c r="B129" s="29" t="str">
        <x:v>SAI²Rium</x:v>
      </x:c>
      <x:c r="C129" s="32" t="n">
        <x:v>8</x:v>
      </x:c>
      <x:c r="D129" s="32" t="n">
        <x:v>7</x:v>
      </x:c>
      <x:c r="E129" s="32" t="n">
        <x:v>5</x:v>
      </x:c>
      <x:c r="F129" s="32" t="n">
        <x:v>6</x:v>
      </x:c>
      <x:c r="G129" s="32" t="n">
        <x:v>4</x:v>
      </x:c>
      <x:c r="H129" s="32" t="n">
        <x:v>4</x:v>
      </x:c>
      <x:c r="I129" s="32" t="n">
        <x:f>SUM(C129:H129)</x:f>
        <x:v>34</x:v>
      </x:c>
      <x:c r="J129" s="32" t="str">
        <x:f>IF(I129&gt;=90,"S+",IF(I129&gt;=80,"S",IF(I129&gt;=70,"A+",IF(I129&gt;=60,"A",IF(I129&gt;=50,"B+",IF(I129&gt;=40,"B",IF(I129&gt;=30,"C+",IF(I129&gt;=20,"C",IF(I129&gt;=10,"D+","D")))))))))</x:f>
        <x:v>C+</x:v>
      </x:c>
      <x:c r="K129" s="32" t="str">
        <x:v>중간</x:v>
      </x:c>
      <x:c r="L129" s="40" t="str">
        <x:v>확장 전수조사군: 공개 공연·라인업·SNS·업계 활동을 기준으로 상대평가</x:v>
      </x:c>
    </x:row>
    <x:row r="130">
      <x:c r="A130" s="41" t="n">
        <x:f>RANK(I130,$I$5:$I$130,0)</x:f>
        <x:v>126</x:v>
      </x:c>
      <x:c r="B130" s="42" t="str">
        <x:v>Bunny La Crew</x:v>
      </x:c>
      <x:c r="C130" s="43" t="n">
        <x:v>8</x:v>
      </x:c>
      <x:c r="D130" s="43" t="n">
        <x:v>7</x:v>
      </x:c>
      <x:c r="E130" s="43" t="n">
        <x:v>5</x:v>
      </x:c>
      <x:c r="F130" s="43" t="n">
        <x:v>5</x:v>
      </x:c>
      <x:c r="G130" s="43" t="n">
        <x:v>4</x:v>
      </x:c>
      <x:c r="H130" s="43" t="n">
        <x:v>4</x:v>
      </x:c>
      <x:c r="I130" s="43" t="n">
        <x:f>SUM(C130:H130)</x:f>
        <x:v>33</x:v>
      </x:c>
      <x:c r="J130" s="43" t="str">
        <x:f>IF(I130&gt;=90,"S+",IF(I130&gt;=80,"S",IF(I130&gt;=70,"A+",IF(I130&gt;=60,"A",IF(I130&gt;=50,"B+",IF(I130&gt;=40,"B",IF(I130&gt;=30,"C+",IF(I130&gt;=20,"C",IF(I130&gt;=10,"D+","D")))))))))</x:f>
        <x:v>C+</x:v>
      </x:c>
      <x:c r="K130" s="43" t="str">
        <x:v>중간</x:v>
      </x:c>
      <x:c r="L130" s="44" t="str">
        <x:v>확장 전수조사군: 공개 공연·라인업·SNS·업계 활동을 기준으로 상대평가</x:v>
      </x:c>
    </x:row>
  </x:sheetData>
  <x:mergeCells>
    <x:mergeCell ref="A1:L1"/>
    <x:mergeCell ref="A2:L2"/>
  </x:mergeCells>
  <x:conditionalFormatting sqref="I5:I130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C5:C130">
    <x:cfRule type="dataBar" priority="2">
      <x:dataBar>
        <x:cfvo type="min"/>
        <x:cfvo type="max"/>
        <x:color rgb="FF7C3AED"/>
      </x:dataBar>
      <x:extLst>
        <x:ext xmlns:x14="http://schemas.microsoft.com/office/spreadsheetml/2009/9/main" uri="{B025F937-C7B1-47D3-B67F-A62EFF666E3E}">
          <x14:id>{5D1E4541-2130-4E7A-3E05-78CB8C144316}</x14:id>
        </x:ext>
      </x:extLst>
    </x:cfRule>
  </x:conditionalFormatting>
  <x:conditionalFormatting sqref="D5:D130">
    <x:cfRule type="dataBar" priority="3">
      <x:dataBar>
        <x:cfvo type="min"/>
        <x:cfvo type="max"/>
        <x:color rgb="FF7C3AED"/>
      </x:dataBar>
      <x:extLst>
        <x:ext xmlns:x14="http://schemas.microsoft.com/office/spreadsheetml/2009/9/main" uri="{B025F937-C7B1-47D3-B67F-A62EFF666E3E}">
          <x14:id>{E14553DE-345C-D60C-ACEE-FB41A5A57ACF}</x14:id>
        </x:ext>
      </x:extLst>
    </x:cfRule>
  </x:conditionalFormatting>
  <x:conditionalFormatting sqref="E5:E130">
    <x:cfRule type="dataBar" priority="4">
      <x:dataBar>
        <x:cfvo type="min"/>
        <x:cfvo type="max"/>
        <x:color rgb="FF7C3AED"/>
      </x:dataBar>
      <x:extLst>
        <x:ext xmlns:x14="http://schemas.microsoft.com/office/spreadsheetml/2009/9/main" uri="{B025F937-C7B1-47D3-B67F-A62EFF666E3E}">
          <x14:id>{4626ABDA-A97A-612B-02CA-41D18EE3B185}</x14:id>
        </x:ext>
      </x:extLst>
    </x:cfRule>
  </x:conditionalFormatting>
  <x:conditionalFormatting sqref="F5:F130">
    <x:cfRule type="dataBar" priority="5">
      <x:dataBar>
        <x:cfvo type="min"/>
        <x:cfvo type="max"/>
        <x:color rgb="FF7C3AED"/>
      </x:dataBar>
      <x:extLst>
        <x:ext xmlns:x14="http://schemas.microsoft.com/office/spreadsheetml/2009/9/main" uri="{B025F937-C7B1-47D3-B67F-A62EFF666E3E}">
          <x14:id>{C12C8FB7-0DE1-9CD1-EC27-3D3E0AA8F22D}</x14:id>
        </x:ext>
      </x:extLst>
    </x:cfRule>
  </x:conditionalFormatting>
  <x:conditionalFormatting sqref="G5:G130">
    <x:cfRule type="dataBar" priority="6">
      <x:dataBar>
        <x:cfvo type="min"/>
        <x:cfvo type="max"/>
        <x:color rgb="FF7C3AED"/>
      </x:dataBar>
      <x:extLst>
        <x:ext xmlns:x14="http://schemas.microsoft.com/office/spreadsheetml/2009/9/main" uri="{B025F937-C7B1-47D3-B67F-A62EFF666E3E}">
          <x14:id>{B4E52EA3-5C64-4549-5A2B-A51A57D7E998}</x14:id>
        </x:ext>
      </x:extLst>
    </x:cfRule>
  </x:conditionalFormatting>
  <x:conditionalFormatting sqref="H5:H130">
    <x:cfRule type="dataBar" priority="7">
      <x:dataBar>
        <x:cfvo type="min"/>
        <x:cfvo type="max"/>
        <x:color rgb="FF7C3AED"/>
      </x:dataBar>
      <x:extLst>
        <x:ext xmlns:x14="http://schemas.microsoft.com/office/spreadsheetml/2009/9/main" uri="{B025F937-C7B1-47D3-B67F-A62EFF666E3E}">
          <x14:id>{57BB37DC-04A9-3A37-B406-3EA60D12B534}</x14:id>
        </x:ext>
      </x:extLst>
    </x:cfRule>
  </x:conditionalFormatting>
  <x:conditionalFormatting sqref="J5:J130">
    <x:cfRule type="expression" dxfId="0" priority="8">
      <x:formula>J5="S+"</x:formula>
    </x:cfRule>
    <x:cfRule type="expression" dxfId="1" priority="9">
      <x:formula>J5="S"</x:formula>
    </x:cfRule>
    <x:cfRule type="expression" dxfId="2" priority="10">
      <x:formula>J5="A+"</x:formula>
    </x:cfRule>
    <x:cfRule type="expression" dxfId="3" priority="11">
      <x:formula>J5="A"</x:formula>
    </x:cfRule>
    <x:cfRule type="expression" dxfId="4" priority="12">
      <x:formula>J5="B+"</x:formula>
    </x:cfRule>
    <x:cfRule type="expression" dxfId="5" priority="13">
      <x:formula>J5="B"</x:formula>
    </x:cfRule>
    <x:cfRule type="expression" dxfId="6" priority="14">
      <x:formula>J5="C+"</x:formula>
    </x:cfRule>
    <x:cfRule type="expression" dxfId="7" priority="15">
      <x:formula>J5="C"</x:formula>
    </x:cfRule>
    <x:cfRule type="expression" dxfId="8" priority="16">
      <x:formula>J5="D+"</x:formula>
    </x:cfRule>
    <x:cfRule type="expression" dxfId="9" priority="17">
      <x:formula>J5="D"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44e90d16ee740b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5D1E4541-2130-4E7A-3E05-78CB8C144316}">
            <x14:dataBar gradient="1">
              <x14:cfvo type="min"/>
              <x14:cfvo type="max"/>
              <x14:fillColor rgb="FF7C3AED"/>
            </x14:dataBar>
          </x14:cfRule>
          <xm:sqref>C5:C130</xm:sqref>
        </x14:conditionalFormatting>
        <x14:conditionalFormatting>
          <x14:cfRule type="dataBar" priority="3" id="{E14553DE-345C-D60C-ACEE-FB41A5A57ACF}">
            <x14:dataBar gradient="1">
              <x14:cfvo type="min"/>
              <x14:cfvo type="max"/>
              <x14:fillColor rgb="FF7C3AED"/>
            </x14:dataBar>
          </x14:cfRule>
          <xm:sqref>D5:D130</xm:sqref>
        </x14:conditionalFormatting>
        <x14:conditionalFormatting>
          <x14:cfRule type="dataBar" priority="4" id="{4626ABDA-A97A-612B-02CA-41D18EE3B185}">
            <x14:dataBar gradient="1">
              <x14:cfvo type="min"/>
              <x14:cfvo type="max"/>
              <x14:fillColor rgb="FF7C3AED"/>
            </x14:dataBar>
          </x14:cfRule>
          <xm:sqref>E5:E130</xm:sqref>
        </x14:conditionalFormatting>
        <x14:conditionalFormatting>
          <x14:cfRule type="dataBar" priority="5" id="{C12C8FB7-0DE1-9CD1-EC27-3D3E0AA8F22D}">
            <x14:dataBar gradient="1">
              <x14:cfvo type="min"/>
              <x14:cfvo type="max"/>
              <x14:fillColor rgb="FF7C3AED"/>
            </x14:dataBar>
          </x14:cfRule>
          <xm:sqref>F5:F130</xm:sqref>
        </x14:conditionalFormatting>
        <x14:conditionalFormatting>
          <x14:cfRule type="dataBar" priority="6" id="{B4E52EA3-5C64-4549-5A2B-A51A57D7E998}">
            <x14:dataBar gradient="1">
              <x14:cfvo type="min"/>
              <x14:cfvo type="max"/>
              <x14:fillColor rgb="FF7C3AED"/>
            </x14:dataBar>
          </x14:cfRule>
          <xm:sqref>G5:G130</xm:sqref>
        </x14:conditionalFormatting>
        <x14:conditionalFormatting>
          <x14:cfRule type="dataBar" priority="7" id="{57BB37DC-04A9-3A37-B406-3EA60D12B534}">
            <x14:dataBar gradient="1">
              <x14:cfvo type="min"/>
              <x14:cfvo type="max"/>
              <x14:fillColor rgb="FF7C3AED"/>
            </x14:dataBar>
          </x14:cfRule>
          <xm:sqref>H5:H130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8" hidden="0" customWidth="1"/>
    <x:col min="5" max="5" width="18" hidden="0" customWidth="1"/>
    <x:col min="6" max="6" width="18" hidden="0" customWidth="1"/>
  </x:cols>
  <x:sheetData>
    <x:row r="1">
      <x:c r="A1" s="4" t="str">
        <x:v>티어 요약</x:v>
      </x:c>
    </x:row>
    <x:row r="3">
      <x:c r="A3" s="86" t="str">
        <x:v>등급</x:v>
      </x:c>
      <x:c r="B3" s="87" t="str">
        <x:v>점수 구간</x:v>
      </x:c>
      <x:c r="C3" s="87" t="str">
        <x:v>그룹 수</x:v>
      </x:c>
      <x:c r="D3" s="88"/>
      <x:c r="E3" s="87" t="str">
        <x:v>지표</x:v>
      </x:c>
      <x:c r="F3" s="89" t="str">
        <x:v>전체 평균</x:v>
      </x:c>
    </x:row>
    <x:row r="4">
      <x:c r="A4" s="90" t="str">
        <x:v>S+</x:v>
      </x:c>
      <x:c r="B4" s="91" t="str">
        <x:v>90~100</x:v>
      </x:c>
      <x:c r="C4" s="91" t="n">
        <x:f>COUNTIF('전체 점수표'!$J$5:$J$130,A4)</x:f>
        <x:v>4</x:v>
      </x:c>
      <x:c r="D4" s="91"/>
      <x:c r="E4" s="91" t="str">
        <x:v>공연·현장</x:v>
      </x:c>
      <x:c r="F4" s="92" t="n">
        <x:f>AVERAGE('전체 점수표'!C5:C130)</x:f>
        <x:v>13.015873015873016</x:v>
      </x:c>
    </x:row>
    <x:row r="5">
      <x:c r="A5" s="93" t="str">
        <x:v>S</x:v>
      </x:c>
      <x:c r="B5" s="91" t="str">
        <x:v>80~89</x:v>
      </x:c>
      <x:c r="C5" s="91" t="n">
        <x:f>COUNTIF('전체 점수표'!$J$5:$J$130,A5)</x:f>
        <x:v>7</x:v>
      </x:c>
      <x:c r="D5" s="91"/>
      <x:c r="E5" s="91" t="str">
        <x:v>팬덤·구매력</x:v>
      </x:c>
      <x:c r="F5" s="92" t="n">
        <x:f>AVERAGE('전체 점수표'!D5:D130)</x:f>
        <x:v>10.84920634920635</x:v>
      </x:c>
    </x:row>
    <x:row r="6">
      <x:c r="A6" s="94" t="str">
        <x:v>A+</x:v>
      </x:c>
      <x:c r="B6" s="91" t="str">
        <x:v>70~79</x:v>
      </x:c>
      <x:c r="C6" s="91" t="n">
        <x:f>COUNTIF('전체 점수표'!$J$5:$J$130,A6)</x:f>
        <x:v>8</x:v>
      </x:c>
      <x:c r="D6" s="91"/>
      <x:c r="E6" s="91" t="str">
        <x:v>대중인지도</x:v>
      </x:c>
      <x:c r="F6" s="92" t="n">
        <x:f>AVERAGE('전체 점수표'!E5:E130)</x:f>
        <x:v>9.26984126984127</x:v>
      </x:c>
    </x:row>
    <x:row r="7">
      <x:c r="A7" s="95" t="str">
        <x:v>A</x:v>
      </x:c>
      <x:c r="B7" s="91" t="str">
        <x:v>60~69</x:v>
      </x:c>
      <x:c r="C7" s="91" t="n">
        <x:f>COUNTIF('전체 점수표'!$J$5:$J$130,A7)</x:f>
        <x:v>8</x:v>
      </x:c>
      <x:c r="D7" s="91"/>
      <x:c r="E7" s="91" t="str">
        <x:v>스트리밍·SNS</x:v>
      </x:c>
      <x:c r="F7" s="92" t="n">
        <x:f>AVERAGE('전체 점수표'!F5:F130)</x:f>
        <x:v>7.833333333333333</x:v>
      </x:c>
    </x:row>
    <x:row r="8">
      <x:c r="A8" s="96" t="str">
        <x:v>B+</x:v>
      </x:c>
      <x:c r="B8" s="91" t="str">
        <x:v>50~59</x:v>
      </x:c>
      <x:c r="C8" s="91" t="n">
        <x:f>COUNTIF('전체 점수표'!$J$5:$J$130,A8)</x:f>
        <x:v>39</x:v>
      </x:c>
      <x:c r="D8" s="91"/>
      <x:c r="E8" s="91" t="str">
        <x:v>현재 기세</x:v>
      </x:c>
      <x:c r="F8" s="92" t="n">
        <x:f>AVERAGE('전체 점수표'!G5:G130)</x:f>
        <x:v>6.150793650793651</x:v>
      </x:c>
    </x:row>
    <x:row r="9">
      <x:c r="A9" s="97" t="str">
        <x:v>B</x:v>
      </x:c>
      <x:c r="B9" s="91" t="str">
        <x:v>40~49</x:v>
      </x:c>
      <x:c r="C9" s="91" t="n">
        <x:f>COUNTIF('전체 점수표'!$J$5:$J$130,A9)</x:f>
        <x:v>37</x:v>
      </x:c>
      <x:c r="D9" s="91"/>
      <x:c r="E9" s="91" t="str">
        <x:v>업계 영향력</x:v>
      </x:c>
      <x:c r="F9" s="92" t="n">
        <x:f>AVERAGE('전체 점수표'!H5:H130)</x:f>
        <x:v>5.833333333333333</x:v>
      </x:c>
    </x:row>
    <x:row r="10">
      <x:c r="A10" s="98" t="str">
        <x:v>C+</x:v>
      </x:c>
      <x:c r="B10" s="91" t="str">
        <x:v>30~39</x:v>
      </x:c>
      <x:c r="C10" s="91" t="n">
        <x:f>COUNTIF('전체 점수표'!$J$5:$J$130,A10)</x:f>
        <x:v>23</x:v>
      </x:c>
      <x:c r="D10" s="91"/>
      <x:c r="E10" s="91" t="str">
        <x:v>총점</x:v>
      </x:c>
      <x:c r="F10" s="92" t="n">
        <x:f>AVERAGE('전체 점수표'!I5:I130)</x:f>
        <x:v>52.95238095238095</x:v>
      </x:c>
    </x:row>
    <x:row r="11">
      <x:c r="A11" s="99" t="str">
        <x:v>C</x:v>
      </x:c>
      <x:c r="B11" s="91" t="str">
        <x:v>20~29</x:v>
      </x:c>
      <x:c r="C11" s="91" t="n">
        <x:f>COUNTIF('전체 점수표'!$J$5:$J$130,A11)</x:f>
        <x:v>0</x:v>
      </x:c>
      <x:c r="D11" s="91"/>
      <x:c r="E11" s="91"/>
      <x:c r="F11" s="100"/>
    </x:row>
    <x:row r="12">
      <x:c r="A12" s="101" t="str">
        <x:v>D+</x:v>
      </x:c>
      <x:c r="B12" s="91" t="str">
        <x:v>10~19</x:v>
      </x:c>
      <x:c r="C12" s="91" t="n">
        <x:f>COUNTIF('전체 점수표'!$J$5:$J$130,A12)</x:f>
        <x:v>0</x:v>
      </x:c>
      <x:c r="D12" s="91"/>
      <x:c r="E12" s="91"/>
      <x:c r="F12" s="100"/>
    </x:row>
    <x:row r="13">
      <x:c r="A13" s="102" t="str">
        <x:v>D</x:v>
      </x:c>
      <x:c r="B13" s="91" t="str">
        <x:v>0~9</x:v>
      </x:c>
      <x:c r="C13" s="91" t="n">
        <x:f>COUNTIF('전체 점수표'!$J$5:$J$130,A13)</x:f>
        <x:v>0</x:v>
      </x:c>
      <x:c r="D13" s="91"/>
      <x:c r="E13" s="91"/>
      <x:c r="F13" s="100"/>
    </x:row>
    <x:row r="14">
      <x:c r="A14" s="103"/>
      <x:c r="B14" s="91"/>
      <x:c r="C14" s="91"/>
      <x:c r="D14" s="91"/>
      <x:c r="E14" s="91"/>
      <x:c r="F14" s="100"/>
    </x:row>
    <x:row r="15">
      <x:c r="A15" s="103"/>
      <x:c r="B15" s="91"/>
      <x:c r="C15" s="91"/>
      <x:c r="D15" s="91"/>
      <x:c r="E15" s="91"/>
      <x:c r="F15" s="100"/>
    </x:row>
    <x:row r="16">
      <x:c r="A16" s="104" t="str">
        <x:v>순위</x:v>
      </x:c>
      <x:c r="B16" s="54" t="str">
        <x:v>그룹</x:v>
      </x:c>
      <x:c r="C16" s="54" t="str">
        <x:v>총점</x:v>
      </x:c>
      <x:c r="D16" s="91"/>
      <x:c r="E16" s="91"/>
      <x:c r="F16" s="100"/>
    </x:row>
    <x:row r="17">
      <x:c r="A17" s="103" t="n">
        <x:v>1</x:v>
      </x:c>
      <x:c r="B17" s="91" t="str">
        <x:v>=LOVE</x:v>
      </x:c>
      <x:c r="C17" s="91" t="n">
        <x:v>97</x:v>
      </x:c>
      <x:c r="D17" s="91"/>
      <x:c r="E17" s="91"/>
      <x:c r="F17" s="100"/>
    </x:row>
    <x:row r="18">
      <x:c r="A18" s="103" t="n">
        <x:v>2</x:v>
      </x:c>
      <x:c r="B18" s="91" t="str">
        <x:v>乃木坂46</x:v>
      </x:c>
      <x:c r="C18" s="91" t="n">
        <x:v>95</x:v>
      </x:c>
      <x:c r="D18" s="91"/>
      <x:c r="E18" s="91"/>
      <x:c r="F18" s="100"/>
    </x:row>
    <x:row r="19">
      <x:c r="A19" s="103" t="n">
        <x:v>3</x:v>
      </x:c>
      <x:c r="B19" s="91" t="str">
        <x:v>FRUITS ZIPPER</x:v>
      </x:c>
      <x:c r="C19" s="91" t="n">
        <x:v>94</x:v>
      </x:c>
      <x:c r="D19" s="91"/>
      <x:c r="E19" s="91"/>
      <x:c r="F19" s="100"/>
    </x:row>
    <x:row r="20">
      <x:c r="A20" s="103" t="n">
        <x:v>4</x:v>
      </x:c>
      <x:c r="B20" s="91" t="str">
        <x:v>HANA</x:v>
      </x:c>
      <x:c r="C20" s="91" t="n">
        <x:v>91</x:v>
      </x:c>
      <x:c r="D20" s="91"/>
      <x:c r="E20" s="91"/>
      <x:c r="F20" s="100"/>
    </x:row>
    <x:row r="21">
      <x:c r="A21" s="103" t="n">
        <x:v>5</x:v>
      </x:c>
      <x:c r="B21" s="91" t="str">
        <x:v>NiziU</x:v>
      </x:c>
      <x:c r="C21" s="91" t="n">
        <x:v>87</x:v>
      </x:c>
      <x:c r="D21" s="91"/>
      <x:c r="E21" s="91"/>
      <x:c r="F21" s="100"/>
    </x:row>
    <x:row r="22">
      <x:c r="A22" s="103" t="n">
        <x:v>6</x:v>
      </x:c>
      <x:c r="B22" s="91" t="str">
        <x:v>CUTIE STREET</x:v>
      </x:c>
      <x:c r="C22" s="91" t="n">
        <x:v>84</x:v>
      </x:c>
      <x:c r="D22" s="91"/>
      <x:c r="E22" s="91"/>
      <x:c r="F22" s="100"/>
    </x:row>
    <x:row r="23">
      <x:c r="A23" s="103" t="n">
        <x:v>7</x:v>
      </x:c>
      <x:c r="B23" s="91" t="str">
        <x:v>櫻坂46</x:v>
      </x:c>
      <x:c r="C23" s="91" t="n">
        <x:v>84</x:v>
      </x:c>
      <x:c r="D23" s="91"/>
      <x:c r="E23" s="91"/>
      <x:c r="F23" s="100"/>
    </x:row>
    <x:row r="24">
      <x:c r="A24" s="103" t="n">
        <x:v>8</x:v>
      </x:c>
      <x:c r="B24" s="91" t="str">
        <x:v>日向坂46</x:v>
      </x:c>
      <x:c r="C24" s="91" t="n">
        <x:v>81</x:v>
      </x:c>
      <x:c r="D24" s="91"/>
      <x:c r="E24" s="91"/>
      <x:c r="F24" s="100"/>
    </x:row>
    <x:row r="25">
      <x:c r="A25" s="103" t="n">
        <x:v>9</x:v>
      </x:c>
      <x:c r="B25" s="91" t="str">
        <x:v>AKB48</x:v>
      </x:c>
      <x:c r="C25" s="91" t="n">
        <x:v>80</x:v>
      </x:c>
      <x:c r="D25" s="91"/>
      <x:c r="E25" s="91"/>
      <x:c r="F25" s="100"/>
    </x:row>
    <x:row r="26">
      <x:c r="A26" s="103" t="n">
        <x:v>10</x:v>
      </x:c>
      <x:c r="B26" s="91" t="str">
        <x:v>iLiFE!</x:v>
      </x:c>
      <x:c r="C26" s="91" t="n">
        <x:v>80</x:v>
      </x:c>
      <x:c r="D26" s="91"/>
      <x:c r="E26" s="91"/>
      <x:c r="F26" s="100"/>
    </x:row>
    <x:row r="27">
      <x:c r="A27" s="103" t="n">
        <x:v>11</x:v>
      </x:c>
      <x:c r="B27" s="91" t="str">
        <x:v>超ときめき♡宣伝部</x:v>
      </x:c>
      <x:c r="C27" s="91" t="n">
        <x:v>80</x:v>
      </x:c>
      <x:c r="D27" s="91"/>
      <x:c r="E27" s="91"/>
      <x:c r="F27" s="100"/>
    </x:row>
    <x:row r="28">
      <x:c r="A28" s="103" t="n">
        <x:v>12</x:v>
      </x:c>
      <x:c r="B28" s="91" t="str">
        <x:v>CANDY TUNE</x:v>
      </x:c>
      <x:c r="C28" s="91" t="n">
        <x:v>78</x:v>
      </x:c>
      <x:c r="D28" s="91"/>
      <x:c r="E28" s="91"/>
      <x:c r="F28" s="100"/>
    </x:row>
    <x:row r="29">
      <x:c r="A29" s="103" t="n">
        <x:v>13</x:v>
      </x:c>
      <x:c r="B29" s="91" t="str">
        <x:v>ME:I</x:v>
      </x:c>
      <x:c r="C29" s="91" t="n">
        <x:v>78</x:v>
      </x:c>
      <x:c r="D29" s="91"/>
      <x:c r="E29" s="91"/>
      <x:c r="F29" s="100"/>
    </x:row>
    <x:row r="30">
      <x:c r="A30" s="103" t="n">
        <x:v>14</x:v>
      </x:c>
      <x:c r="B30" s="91" t="str">
        <x:v>i☆Ris</x:v>
      </x:c>
      <x:c r="C30" s="91" t="n">
        <x:v>76</x:v>
      </x:c>
      <x:c r="D30" s="91"/>
      <x:c r="E30" s="91"/>
      <x:c r="F30" s="100"/>
    </x:row>
    <x:row r="31">
      <x:c r="A31" s="103" t="n">
        <x:v>15</x:v>
      </x:c>
      <x:c r="B31" s="91" t="str">
        <x:v>≠ME</x:v>
      </x:c>
      <x:c r="C31" s="91" t="n">
        <x:v>75</x:v>
      </x:c>
      <x:c r="D31" s="91"/>
      <x:c r="E31" s="91"/>
      <x:c r="F31" s="100"/>
    </x:row>
    <x:row r="32">
      <x:c r="A32" s="103" t="n">
        <x:v>16</x:v>
      </x:c>
      <x:c r="B32" s="91" t="str">
        <x:v>いぎなり東北産</x:v>
      </x:c>
      <x:c r="C32" s="91" t="n">
        <x:v>74</x:v>
      </x:c>
      <x:c r="D32" s="91"/>
      <x:c r="E32" s="91"/>
      <x:c r="F32" s="100"/>
    </x:row>
    <x:row r="33">
      <x:c r="A33" s="103" t="n">
        <x:v>17</x:v>
      </x:c>
      <x:c r="B33" s="91" t="str">
        <x:v>モーニング娘。'26</x:v>
      </x:c>
      <x:c r="C33" s="91" t="n">
        <x:v>73</x:v>
      </x:c>
      <x:c r="D33" s="91"/>
      <x:c r="E33" s="91"/>
      <x:c r="F33" s="100"/>
    </x:row>
    <x:row r="34">
      <x:c r="A34" s="103" t="n">
        <x:v>18</x:v>
      </x:c>
      <x:c r="B34" s="91" t="str">
        <x:v>ももいろクローバーZ</x:v>
      </x:c>
      <x:c r="C34" s="91" t="n">
        <x:v>71</x:v>
      </x:c>
      <x:c r="D34" s="91"/>
      <x:c r="E34" s="91"/>
      <x:c r="F34" s="100"/>
    </x:row>
    <x:row r="35">
      <x:c r="A35" s="103" t="n">
        <x:v>19</x:v>
      </x:c>
      <x:c r="B35" s="91" t="str">
        <x:v>Juice=Juice</x:v>
      </x:c>
      <x:c r="C35" s="91" t="n">
        <x:v>70</x:v>
      </x:c>
      <x:c r="D35" s="91"/>
      <x:c r="E35" s="91"/>
      <x:c r="F35" s="100"/>
    </x:row>
    <x:row r="36">
      <x:c r="A36" s="105" t="n">
        <x:v>20</x:v>
      </x:c>
      <x:c r="B36" s="106" t="str">
        <x:v>SWEET STEADY</x:v>
      </x:c>
      <x:c r="C36" s="106" t="n">
        <x:v>67</x:v>
      </x:c>
      <x:c r="D36" s="106"/>
      <x:c r="E36" s="106"/>
      <x:c r="F36" s="107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781eec669b89453b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48" hidden="0" customWidth="1"/>
    <x:col min="4" max="4" width="48" hidden="0" customWidth="1"/>
  </x:cols>
  <x:sheetData>
    <x:row r="1">
      <x:c r="A1" s="4" t="str">
        <x:v>평가기준 및 해석</x:v>
      </x:c>
    </x:row>
    <x:row r="3">
      <x:c r="A3" s="129" t="str">
        <x:v>지표</x:v>
      </x:c>
      <x:c r="B3" s="130" t="str">
        <x:v>만점</x:v>
      </x:c>
      <x:c r="C3" s="130" t="str">
        <x:v>평가 내용</x:v>
      </x:c>
      <x:c r="D3" s="131" t="str">
        <x:v>해석</x:v>
      </x:c>
    </x:row>
    <x:row r="4">
      <x:c r="A4" s="132" t="str">
        <x:v>공연·현장</x:v>
      </x:c>
      <x:c r="B4" s="78" t="n">
        <x:v>25</x:v>
      </x:c>
      <x:c r="C4" s="78" t="str">
        <x:v>단독공연 규모, 투어 회차, 매진 여부, 공연장 급</x:v>
      </x:c>
      <x:c r="D4" s="133" t="str">
        <x:v>일본 아이돌 체급에서 가장 높은 비중</x:v>
      </x:c>
    </x:row>
    <x:row r="5">
      <x:c r="A5" s="132" t="str">
        <x:v>팬덤·구매력</x:v>
      </x:c>
      <x:c r="B5" s="78" t="n">
        <x:v>20</x:v>
      </x:c>
      <x:c r="C5" s="78" t="str">
        <x:v>CD/특전회/굿즈/팬클럽/티켓 구매력</x:v>
      </x:c>
      <x:c r="D5" s="133" t="str">
        <x:v>판매량만이 아니라 코어 팬덤 폭과 지속성 반영</x:v>
      </x:c>
    </x:row>
    <x:row r="6">
      <x:c r="A6" s="132" t="str">
        <x:v>대중인지도</x:v>
      </x:c>
      <x:c r="B6" s="78" t="n">
        <x:v>20</x:v>
      </x:c>
      <x:c r="C6" s="78" t="str">
        <x:v>일반 검색 관심, 대표곡 인지도, TV·광고·예능 노출</x:v>
      </x:c>
      <x:c r="D6" s="133" t="str">
        <x:v>코어 팬덤 밖의 인지도</x:v>
      </x:c>
    </x:row>
    <x:row r="7">
      <x:c r="A7" s="132" t="str">
        <x:v>스트리밍·SNS</x:v>
      </x:c>
      <x:c r="B7" s="78" t="n">
        <x:v>15</x:v>
      </x:c>
      <x:c r="C7" s="78" t="str">
        <x:v>스트리밍, YouTube, TikTok, X 화제량</x:v>
      </x:c>
      <x:c r="D7" s="133" t="str">
        <x:v>온라인 소비와 바이럴 파워</x:v>
      </x:c>
    </x:row>
    <x:row r="8">
      <x:c r="A8" s="132" t="str">
        <x:v>현재 기세</x:v>
      </x:c>
      <x:c r="B8" s="78" t="n">
        <x:v>10</x:v>
      </x:c>
      <x:c r="C8" s="78" t="str">
        <x:v>최근 12개월 성장률, 공연장 상승, 신규 팬 유입</x:v>
      </x:c>
      <x:c r="D8" s="133" t="str">
        <x:v>최근 상승·하락을 보정</x:v>
      </x:c>
    </x:row>
    <x:row r="9">
      <x:c r="A9" s="132" t="str">
        <x:v>업계 영향력</x:v>
      </x:c>
      <x:c r="B9" s="78" t="n">
        <x:v>10</x:v>
      </x:c>
      <x:c r="C9" s="78" t="str">
        <x:v>메이저 음악방송, 페스티벌, CM, 잡지, 레이블/프로젝트 영향</x:v>
      </x:c>
      <x:c r="D9" s="133" t="str">
        <x:v>업계 내 지속적인 존재감</x:v>
      </x:c>
    </x:row>
    <x:row r="10">
      <x:c r="A10" s="132"/>
      <x:c r="B10" s="78"/>
      <x:c r="C10" s="78"/>
      <x:c r="D10" s="133"/>
    </x:row>
    <x:row r="11">
      <x:c r="A11" s="132"/>
      <x:c r="B11" s="78"/>
      <x:c r="C11" s="78"/>
      <x:c r="D11" s="133"/>
    </x:row>
    <x:row r="12">
      <x:c r="A12" s="134" t="str">
        <x:v>등급</x:v>
      </x:c>
      <x:c r="B12" s="21" t="str">
        <x:v>총점</x:v>
      </x:c>
      <x:c r="C12" s="21" t="str">
        <x:v>의미</x:v>
      </x:c>
      <x:c r="D12" s="133"/>
    </x:row>
    <x:row r="13">
      <x:c r="A13" s="132" t="str">
        <x:v>S+</x:v>
      </x:c>
      <x:c r="B13" s="78" t="str">
        <x:v>90~100</x:v>
      </x:c>
      <x:c r="C13" s="78" t="str">
        <x:v>일본 여성아이돌 최상위권</x:v>
      </x:c>
      <x:c r="D13" s="133"/>
    </x:row>
    <x:row r="14">
      <x:c r="A14" s="132" t="str">
        <x:v>S</x:v>
      </x:c>
      <x:c r="B14" s="78" t="str">
        <x:v>80~89</x:v>
      </x:c>
      <x:c r="C14" s="78" t="str">
        <x:v>대형 체급</x:v>
      </x:c>
      <x:c r="D14" s="133"/>
    </x:row>
    <x:row r="15">
      <x:c r="A15" s="132" t="str">
        <x:v>A+</x:v>
      </x:c>
      <x:c r="B15" s="78" t="str">
        <x:v>70~79</x:v>
      </x:c>
      <x:c r="C15" s="78" t="str">
        <x:v>상위권</x:v>
      </x:c>
      <x:c r="D15" s="133"/>
    </x:row>
    <x:row r="16">
      <x:c r="A16" s="132" t="str">
        <x:v>A</x:v>
      </x:c>
      <x:c r="B16" s="78" t="str">
        <x:v>60~69</x:v>
      </x:c>
      <x:c r="C16" s="78" t="str">
        <x:v>중상위권</x:v>
      </x:c>
      <x:c r="D16" s="133"/>
    </x:row>
    <x:row r="17">
      <x:c r="A17" s="132" t="str">
        <x:v>B+</x:v>
      </x:c>
      <x:c r="B17" s="78" t="str">
        <x:v>50~59</x:v>
      </x:c>
      <x:c r="C17" s="78" t="str">
        <x:v>중견·강한 라이브/팬덤</x:v>
      </x:c>
      <x:c r="D17" s="133"/>
    </x:row>
    <x:row r="18">
      <x:c r="A18" s="132" t="str">
        <x:v>B</x:v>
      </x:c>
      <x:c r="B18" s="78" t="str">
        <x:v>40~49</x:v>
      </x:c>
      <x:c r="C18" s="78" t="str">
        <x:v>안정적인 중위 라이브아이돌권</x:v>
      </x:c>
      <x:c r="D18" s="133"/>
    </x:row>
    <x:row r="19">
      <x:c r="A19" s="132" t="str">
        <x:v>C+</x:v>
      </x:c>
      <x:c r="B19" s="78" t="str">
        <x:v>30~39</x:v>
      </x:c>
      <x:c r="C19" s="78" t="str">
        <x:v>소형·지역/현장 중심</x:v>
      </x:c>
      <x:c r="D19" s="133"/>
    </x:row>
    <x:row r="20">
      <x:c r="A20" s="132" t="str">
        <x:v>C</x:v>
      </x:c>
      <x:c r="B20" s="78" t="str">
        <x:v>20~29</x:v>
      </x:c>
      <x:c r="C20" s="78" t="str">
        <x:v>초소형 또는 제한적 활동 기반</x:v>
      </x:c>
      <x:c r="D20" s="133"/>
    </x:row>
    <x:row r="21">
      <x:c r="A21" s="132" t="str">
        <x:v>D+</x:v>
      </x:c>
      <x:c r="B21" s="78" t="str">
        <x:v>10~19</x:v>
      </x:c>
      <x:c r="C21" s="78" t="str">
        <x:v>신생·극소규모</x:v>
      </x:c>
      <x:c r="D21" s="133"/>
    </x:row>
    <x:row r="22">
      <x:c r="A22" s="132" t="str">
        <x:v>D</x:v>
      </x:c>
      <x:c r="B22" s="78" t="str">
        <x:v>0~9</x:v>
      </x:c>
      <x:c r="C22" s="78" t="str">
        <x:v>데이터 부족 또는 매우 초기 단계</x:v>
      </x:c>
      <x:c r="D22" s="133"/>
    </x:row>
    <x:row r="23">
      <x:c r="A23" s="103"/>
      <x:c r="B23" s="91"/>
      <x:c r="C23" s="91"/>
      <x:c r="D23" s="100"/>
    </x:row>
    <x:row r="24">
      <x:c r="A24" s="103"/>
      <x:c r="B24" s="91"/>
      <x:c r="C24" s="91"/>
      <x:c r="D24" s="100"/>
    </x:row>
    <x:row r="25" ht="42" customHeight="1">
      <x:c r="A25" s="135" t="str">
        <x:v>주의: 이 점수는 공식 통계가 아니라 2026-09-15 시점의 공개 공연·팬덤·화제성·업계 활동을 동일 기준으로 정규화한 분석용 상대평가입니다. ±2~3점은 사실상 동급으로 보는 것을 권장합니다.</x:v>
      </x:c>
      <x:c r="B25" s="106"/>
      <x:c r="C25" s="106"/>
      <x:c r="D25" s="107"/>
    </x:row>
  </x:sheetData>
  <x:mergeCells>
    <x:mergeCell ref="A1:F1"/>
    <x:mergeCell ref="A25:D2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52" hidden="0" customWidth="1"/>
    <x:col min="4" max="4" width="48" hidden="0" customWidth="1"/>
  </x:cols>
  <x:sheetData>
    <x:row r="1">
      <x:c r="A1" s="84" t="str">
        <x:v>대표 참고 출처</x:v>
      </x:c>
      <x:c r="B1" s="78"/>
      <x:c r="C1" s="78"/>
      <x:c r="D1" s="78"/>
    </x:row>
    <x:row r="3">
      <x:c r="A3" s="86" t="str">
        <x:v>분류</x:v>
      </x:c>
      <x:c r="B3" s="87" t="str">
        <x:v>출처</x:v>
      </x:c>
      <x:c r="C3" s="87" t="str">
        <x:v>URL</x:v>
      </x:c>
      <x:c r="D3" s="89" t="str">
        <x:v>활용</x:v>
      </x:c>
    </x:row>
    <x:row r="4">
      <x:c r="A4" s="103" t="str">
        <x:v>화제성</x:v>
      </x:c>
      <x:c r="B4" s="91" t="str">
        <x:v>あの坂 女性アイドルグループ話題量ランキング</x:v>
      </x:c>
      <x:c r="C4" s="91" t="str">
        <x:v>https://anosaka.com/female-idol-buzz-ranking-2026-09</x:v>
      </x:c>
      <x:c r="D4" s="100" t="str">
        <x:v>Google/YouTube/X/Wikipedia 기반 대중 관심 보조지표</x:v>
      </x:c>
    </x:row>
    <x:row r="5">
      <x:c r="A5" s="103" t="str">
        <x:v>판매/시장</x:v>
      </x:c>
      <x:c r="B5" s="91" t="str">
        <x:v>ORICON NEWS</x:v>
      </x:c>
      <x:c r="C5" s="91" t="str">
        <x:v>https://www.oricon.co.jp/news/2470610/full/</x:v>
      </x:c>
      <x:c r="D5" s="100" t="str">
        <x:v>KAWAII LAB. 판매·성장 및 주요 기록 확인</x:v>
      </x:c>
    </x:row>
    <x:row r="6">
      <x:c r="A6" s="103" t="str">
        <x:v>판매/시장</x:v>
      </x:c>
      <x:c r="B6" s="91" t="str">
        <x:v>ORICON NEWS</x:v>
      </x:c>
      <x:c r="C6" s="91" t="str">
        <x:v>https://www.oricon.co.jp/news/2468984/full/</x:v>
      </x:c>
      <x:c r="D6" s="100" t="str">
        <x:v>FRUITS ZIPPER 2026 싱글 판매 기록</x:v>
      </x:c>
    </x:row>
    <x:row r="7">
      <x:c r="A7" s="103" t="str">
        <x:v>페스티벌</x:v>
      </x:c>
      <x:c r="B7" s="91" t="str">
        <x:v>TOKYO IDOL FESTIVAL 2026</x:v>
      </x:c>
      <x:c r="C7" s="91" t="str">
        <x:v>https://official.idolfes.com/s/tif2026/page/lineup</x:v>
      </x:c>
      <x:c r="D7" s="100" t="str">
        <x:v>라이브아이돌 현역 활동·라인업 확인</x:v>
      </x:c>
    </x:row>
    <x:row r="8">
      <x:c r="A8" s="105" t="str">
        <x:v>방법론</x:v>
      </x:c>
      <x:c r="B8" s="106" t="str">
        <x:v>점수모델</x:v>
      </x:c>
      <x:c r="C8" s="106" t="str">
        <x:v>내부 분석 기준</x:v>
      </x:c>
      <x:c r="D8" s="107" t="str">
        <x:v>공연25/팬덤20/인지도20/SNS15/기세10/업계10</x:v>
      </x:c>
    </x:row>
  </x:sheetData>
  <x:mergeCells>
    <x:mergeCell ref="A1:D1"/>
  </x:mergeCells>
  <x:pageMargins left="0.7" right="0.7" top="0.75" bottom="0.75" header="0.3" footer="0.3"/>
</x:worksheet>
</file>